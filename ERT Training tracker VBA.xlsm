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0087p8\Desktop\Projects\Training\"/>
    </mc:Choice>
  </mc:AlternateContent>
  <xr:revisionPtr revIDLastSave="0" documentId="13_ncr:1_{370769DF-B2AD-408D-9455-BC3392EEA795}" xr6:coauthVersionLast="47" xr6:coauthVersionMax="47" xr10:uidLastSave="{00000000-0000-0000-0000-000000000000}"/>
  <bookViews>
    <workbookView xWindow="57480" yWindow="60" windowWidth="29040" windowHeight="15840" xr2:uid="{00000000-000D-0000-FFFF-FFFF00000000}"/>
  </bookViews>
  <sheets>
    <sheet name="Overview" sheetId="1" r:id="rId1"/>
    <sheet name="ERT Report Paste" sheetId="3" r:id="rId2"/>
  </sheets>
  <definedNames>
    <definedName name="_xlnm._FilterDatabase" localSheetId="0" hidden="1">Overview!$A$2:$L$62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O3" i="1"/>
  <c r="F4" i="1" l="1"/>
  <c r="F12" i="1"/>
  <c r="F20" i="1"/>
  <c r="F28" i="1"/>
  <c r="F36" i="1"/>
  <c r="F44" i="1"/>
  <c r="F52" i="1"/>
  <c r="F60" i="1"/>
  <c r="F5" i="1"/>
  <c r="F13" i="1"/>
  <c r="F53" i="1"/>
  <c r="F6" i="1"/>
  <c r="F14" i="1"/>
  <c r="F22" i="1"/>
  <c r="F30" i="1"/>
  <c r="F54" i="1"/>
  <c r="F7" i="1"/>
  <c r="F15" i="1"/>
  <c r="F23" i="1"/>
  <c r="F31" i="1"/>
  <c r="F39" i="1"/>
  <c r="F47" i="1"/>
  <c r="F55" i="1"/>
  <c r="F19" i="1"/>
  <c r="F43" i="1"/>
  <c r="F37" i="1"/>
  <c r="F38" i="1"/>
  <c r="F8" i="1"/>
  <c r="F16" i="1"/>
  <c r="F24" i="1"/>
  <c r="F32" i="1"/>
  <c r="F40" i="1"/>
  <c r="F48" i="1"/>
  <c r="F56" i="1"/>
  <c r="F51" i="1"/>
  <c r="F21" i="1"/>
  <c r="F9" i="1"/>
  <c r="F17" i="1"/>
  <c r="F25" i="1"/>
  <c r="F33" i="1"/>
  <c r="F41" i="1"/>
  <c r="F49" i="1"/>
  <c r="F57" i="1"/>
  <c r="F27" i="1"/>
  <c r="F59" i="1"/>
  <c r="F61" i="1"/>
  <c r="F62" i="1"/>
  <c r="F10" i="1"/>
  <c r="F18" i="1"/>
  <c r="F26" i="1"/>
  <c r="F34" i="1"/>
  <c r="F42" i="1"/>
  <c r="F50" i="1"/>
  <c r="F58" i="1"/>
  <c r="F11" i="1"/>
  <c r="F35" i="1"/>
  <c r="F29" i="1"/>
  <c r="F45" i="1"/>
  <c r="F46" i="1"/>
  <c r="G4" i="1"/>
  <c r="G12" i="1"/>
  <c r="G20" i="1"/>
  <c r="G28" i="1"/>
  <c r="G36" i="1"/>
  <c r="G44" i="1"/>
  <c r="G52" i="1"/>
  <c r="G60" i="1"/>
  <c r="G5" i="1"/>
  <c r="G13" i="1"/>
  <c r="G21" i="1"/>
  <c r="G29" i="1"/>
  <c r="G37" i="1"/>
  <c r="G45" i="1"/>
  <c r="G53" i="1"/>
  <c r="G61" i="1"/>
  <c r="G6" i="1"/>
  <c r="G14" i="1"/>
  <c r="G22" i="1"/>
  <c r="G30" i="1"/>
  <c r="G38" i="1"/>
  <c r="G46" i="1"/>
  <c r="G54" i="1"/>
  <c r="G62" i="1"/>
  <c r="G51" i="1"/>
  <c r="G7" i="1"/>
  <c r="G15" i="1"/>
  <c r="G23" i="1"/>
  <c r="G31" i="1"/>
  <c r="G39" i="1"/>
  <c r="G47" i="1"/>
  <c r="G55" i="1"/>
  <c r="G11" i="1"/>
  <c r="G43" i="1"/>
  <c r="G8" i="1"/>
  <c r="G16" i="1"/>
  <c r="G24" i="1"/>
  <c r="G32" i="1"/>
  <c r="G40" i="1"/>
  <c r="G48" i="1"/>
  <c r="G56" i="1"/>
  <c r="G27" i="1"/>
  <c r="G9" i="1"/>
  <c r="G17" i="1"/>
  <c r="G25" i="1"/>
  <c r="G33" i="1"/>
  <c r="G41" i="1"/>
  <c r="G49" i="1"/>
  <c r="G57" i="1"/>
  <c r="G19" i="1"/>
  <c r="G10" i="1"/>
  <c r="G18" i="1"/>
  <c r="G26" i="1"/>
  <c r="G34" i="1"/>
  <c r="G42" i="1"/>
  <c r="G50" i="1"/>
  <c r="G58" i="1"/>
  <c r="G35" i="1"/>
  <c r="G59" i="1"/>
  <c r="L3" i="1"/>
  <c r="L5" i="1"/>
  <c r="L13" i="1"/>
  <c r="L21" i="1"/>
  <c r="L29" i="1"/>
  <c r="L37" i="1"/>
  <c r="L45" i="1"/>
  <c r="L53" i="1"/>
  <c r="L61" i="1"/>
  <c r="L15" i="1"/>
  <c r="L23" i="1"/>
  <c r="L39" i="1"/>
  <c r="L55" i="1"/>
  <c r="L6" i="1"/>
  <c r="L14" i="1"/>
  <c r="L22" i="1"/>
  <c r="L30" i="1"/>
  <c r="L38" i="1"/>
  <c r="L46" i="1"/>
  <c r="L54" i="1"/>
  <c r="L62" i="1"/>
  <c r="L7" i="1"/>
  <c r="L31" i="1"/>
  <c r="L47" i="1"/>
  <c r="L8" i="1"/>
  <c r="L16" i="1"/>
  <c r="L24" i="1"/>
  <c r="L32" i="1"/>
  <c r="L40" i="1"/>
  <c r="L48" i="1"/>
  <c r="L56" i="1"/>
  <c r="L19" i="1"/>
  <c r="L35" i="1"/>
  <c r="L51" i="1"/>
  <c r="L4" i="1"/>
  <c r="L28" i="1"/>
  <c r="L52" i="1"/>
  <c r="L9" i="1"/>
  <c r="L17" i="1"/>
  <c r="L25" i="1"/>
  <c r="L33" i="1"/>
  <c r="L41" i="1"/>
  <c r="L49" i="1"/>
  <c r="L57" i="1"/>
  <c r="L11" i="1"/>
  <c r="L43" i="1"/>
  <c r="L59" i="1"/>
  <c r="L20" i="1"/>
  <c r="L44" i="1"/>
  <c r="L60" i="1"/>
  <c r="L10" i="1"/>
  <c r="L18" i="1"/>
  <c r="L26" i="1"/>
  <c r="L34" i="1"/>
  <c r="L42" i="1"/>
  <c r="L50" i="1"/>
  <c r="L58" i="1"/>
  <c r="L27" i="1"/>
  <c r="L12" i="1"/>
  <c r="L36" i="1"/>
  <c r="G3" i="1"/>
  <c r="F3" i="1"/>
  <c r="N4" i="1"/>
  <c r="N2" i="1"/>
  <c r="O2" i="1"/>
  <c r="O4" i="1"/>
  <c r="H4" i="1" l="1"/>
  <c r="H12" i="1"/>
  <c r="H20" i="1"/>
  <c r="H28" i="1"/>
  <c r="H36" i="1"/>
  <c r="H44" i="1"/>
  <c r="H52" i="1"/>
  <c r="H60" i="1"/>
  <c r="H5" i="1"/>
  <c r="H13" i="1"/>
  <c r="H37" i="1"/>
  <c r="H22" i="1"/>
  <c r="H7" i="1"/>
  <c r="H15" i="1"/>
  <c r="H23" i="1"/>
  <c r="H31" i="1"/>
  <c r="H39" i="1"/>
  <c r="H47" i="1"/>
  <c r="H55" i="1"/>
  <c r="H35" i="1"/>
  <c r="H59" i="1"/>
  <c r="H53" i="1"/>
  <c r="H14" i="1"/>
  <c r="H8" i="1"/>
  <c r="H16" i="1"/>
  <c r="H24" i="1"/>
  <c r="H32" i="1"/>
  <c r="H40" i="1"/>
  <c r="H48" i="1"/>
  <c r="H56" i="1"/>
  <c r="H27" i="1"/>
  <c r="H45" i="1"/>
  <c r="H6" i="1"/>
  <c r="H54" i="1"/>
  <c r="H9" i="1"/>
  <c r="H17" i="1"/>
  <c r="H25" i="1"/>
  <c r="H33" i="1"/>
  <c r="H41" i="1"/>
  <c r="H49" i="1"/>
  <c r="H57" i="1"/>
  <c r="H19" i="1"/>
  <c r="H51" i="1"/>
  <c r="H29" i="1"/>
  <c r="H30" i="1"/>
  <c r="H46" i="1"/>
  <c r="H10" i="1"/>
  <c r="H18" i="1"/>
  <c r="H26" i="1"/>
  <c r="H34" i="1"/>
  <c r="H42" i="1"/>
  <c r="H50" i="1"/>
  <c r="H58" i="1"/>
  <c r="H11" i="1"/>
  <c r="H43" i="1"/>
  <c r="H21" i="1"/>
  <c r="H61" i="1"/>
  <c r="H38" i="1"/>
  <c r="H62" i="1"/>
  <c r="I4" i="1"/>
  <c r="I28" i="1"/>
  <c r="I61" i="1"/>
  <c r="I5" i="1"/>
  <c r="I13" i="1"/>
  <c r="I21" i="1"/>
  <c r="I29" i="1"/>
  <c r="I37" i="1"/>
  <c r="I45" i="1"/>
  <c r="I54" i="1"/>
  <c r="I6" i="1"/>
  <c r="I14" i="1"/>
  <c r="I22" i="1"/>
  <c r="I30" i="1"/>
  <c r="I7" i="1"/>
  <c r="I15" i="1"/>
  <c r="I23" i="1"/>
  <c r="I31" i="1"/>
  <c r="I39" i="1"/>
  <c r="I47" i="1"/>
  <c r="I55" i="1"/>
  <c r="I25" i="1"/>
  <c r="I41" i="1"/>
  <c r="I57" i="1"/>
  <c r="I12" i="1"/>
  <c r="I44" i="1"/>
  <c r="I53" i="1"/>
  <c r="I62" i="1"/>
  <c r="I8" i="1"/>
  <c r="I16" i="1"/>
  <c r="I24" i="1"/>
  <c r="I32" i="1"/>
  <c r="I40" i="1"/>
  <c r="I48" i="1"/>
  <c r="I56" i="1"/>
  <c r="I17" i="1"/>
  <c r="I33" i="1"/>
  <c r="I49" i="1"/>
  <c r="I59" i="1"/>
  <c r="I36" i="1"/>
  <c r="I60" i="1"/>
  <c r="I38" i="1"/>
  <c r="I9" i="1"/>
  <c r="I10" i="1"/>
  <c r="I18" i="1"/>
  <c r="I26" i="1"/>
  <c r="I34" i="1"/>
  <c r="I42" i="1"/>
  <c r="I50" i="1"/>
  <c r="I58" i="1"/>
  <c r="I11" i="1"/>
  <c r="I19" i="1"/>
  <c r="I27" i="1"/>
  <c r="I35" i="1"/>
  <c r="I43" i="1"/>
  <c r="I51" i="1"/>
  <c r="I20" i="1"/>
  <c r="I52" i="1"/>
  <c r="I46" i="1"/>
  <c r="J6" i="1"/>
  <c r="J14" i="1"/>
  <c r="J22" i="1"/>
  <c r="J30" i="1"/>
  <c r="J38" i="1"/>
  <c r="J46" i="1"/>
  <c r="J54" i="1"/>
  <c r="J62" i="1"/>
  <c r="J25" i="1"/>
  <c r="J49" i="1"/>
  <c r="J51" i="1"/>
  <c r="J28" i="1"/>
  <c r="J44" i="1"/>
  <c r="J13" i="1"/>
  <c r="J45" i="1"/>
  <c r="J7" i="1"/>
  <c r="J15" i="1"/>
  <c r="J23" i="1"/>
  <c r="J31" i="1"/>
  <c r="J39" i="1"/>
  <c r="J47" i="1"/>
  <c r="J55" i="1"/>
  <c r="J9" i="1"/>
  <c r="J33" i="1"/>
  <c r="J57" i="1"/>
  <c r="J59" i="1"/>
  <c r="J20" i="1"/>
  <c r="J36" i="1"/>
  <c r="J60" i="1"/>
  <c r="J21" i="1"/>
  <c r="J53" i="1"/>
  <c r="J8" i="1"/>
  <c r="J16" i="1"/>
  <c r="J24" i="1"/>
  <c r="J32" i="1"/>
  <c r="J40" i="1"/>
  <c r="J48" i="1"/>
  <c r="J56" i="1"/>
  <c r="J17" i="1"/>
  <c r="J41" i="1"/>
  <c r="J43" i="1"/>
  <c r="J4" i="1"/>
  <c r="J5" i="1"/>
  <c r="J37" i="1"/>
  <c r="J10" i="1"/>
  <c r="J18" i="1"/>
  <c r="J26" i="1"/>
  <c r="J34" i="1"/>
  <c r="J42" i="1"/>
  <c r="J50" i="1"/>
  <c r="J58" i="1"/>
  <c r="J11" i="1"/>
  <c r="J19" i="1"/>
  <c r="J27" i="1"/>
  <c r="J35" i="1"/>
  <c r="J12" i="1"/>
  <c r="J52" i="1"/>
  <c r="J29" i="1"/>
  <c r="J61" i="1"/>
  <c r="K4" i="1"/>
  <c r="K12" i="1"/>
  <c r="K20" i="1"/>
  <c r="K28" i="1"/>
  <c r="K36" i="1"/>
  <c r="K44" i="1"/>
  <c r="K52" i="1"/>
  <c r="K60" i="1"/>
  <c r="K13" i="1"/>
  <c r="K21" i="1"/>
  <c r="K29" i="1"/>
  <c r="K37" i="1"/>
  <c r="K45" i="1"/>
  <c r="K53" i="1"/>
  <c r="K61" i="1"/>
  <c r="K51" i="1"/>
  <c r="K5" i="1"/>
  <c r="K27" i="1"/>
  <c r="K6" i="1"/>
  <c r="K14" i="1"/>
  <c r="K22" i="1"/>
  <c r="K30" i="1"/>
  <c r="K38" i="1"/>
  <c r="K46" i="1"/>
  <c r="K54" i="1"/>
  <c r="K62" i="1"/>
  <c r="K32" i="1"/>
  <c r="K48" i="1"/>
  <c r="K25" i="1"/>
  <c r="K41" i="1"/>
  <c r="K18" i="1"/>
  <c r="K42" i="1"/>
  <c r="K11" i="1"/>
  <c r="K7" i="1"/>
  <c r="K15" i="1"/>
  <c r="K23" i="1"/>
  <c r="K31" i="1"/>
  <c r="K39" i="1"/>
  <c r="K47" i="1"/>
  <c r="K55" i="1"/>
  <c r="K16" i="1"/>
  <c r="K24" i="1"/>
  <c r="K40" i="1"/>
  <c r="K56" i="1"/>
  <c r="K33" i="1"/>
  <c r="K57" i="1"/>
  <c r="K34" i="1"/>
  <c r="K50" i="1"/>
  <c r="K35" i="1"/>
  <c r="K8" i="1"/>
  <c r="K19" i="1"/>
  <c r="K9" i="1"/>
  <c r="K17" i="1"/>
  <c r="K49" i="1"/>
  <c r="K26" i="1"/>
  <c r="K58" i="1"/>
  <c r="K43" i="1"/>
  <c r="K10" i="1"/>
  <c r="K59" i="1"/>
  <c r="H3" i="1"/>
  <c r="J3" i="1"/>
  <c r="K3" i="1"/>
  <c r="I3" i="1"/>
</calcChain>
</file>

<file path=xl/sharedStrings.xml><?xml version="1.0" encoding="utf-8"?>
<sst xmlns="http://schemas.openxmlformats.org/spreadsheetml/2006/main" count="30" uniqueCount="30">
  <si>
    <t>RDC</t>
  </si>
  <si>
    <t>Dept</t>
  </si>
  <si>
    <t>TM#</t>
  </si>
  <si>
    <t>First Name</t>
  </si>
  <si>
    <t>Last Name</t>
  </si>
  <si>
    <t xml:space="preserve">Key </t>
  </si>
  <si>
    <t>Location</t>
  </si>
  <si>
    <t>Team Member ID</t>
  </si>
  <si>
    <t>Project Worker</t>
  </si>
  <si>
    <t>Job Profile</t>
  </si>
  <si>
    <t>Learning- ERT Statement of Understanding Completion Date</t>
  </si>
  <si>
    <t>Learning- Active Shooter for AP and Leaders (6 month- HQ Driven) Completion Date</t>
  </si>
  <si>
    <t>Learning- Emergency Preparedness and Response (1 Yr.- HQ Driven) Completion Date</t>
  </si>
  <si>
    <t>Learning- Hazard Communication/ Bloodborne Pathogens (1 Yr.) Completion Date</t>
  </si>
  <si>
    <t>Learning- Hepatitis B Consent (one time) Completion Date</t>
  </si>
  <si>
    <t>License- First Aid (2 Yr.)- Issued Date</t>
  </si>
  <si>
    <t>License- AED/CPR (2 Yr.) Issued Date</t>
  </si>
  <si>
    <t>Work Shift</t>
  </si>
  <si>
    <t>First Aid
(2 Yr)</t>
  </si>
  <si>
    <t>6 Month</t>
  </si>
  <si>
    <t>1 Year</t>
  </si>
  <si>
    <t>2 Year</t>
  </si>
  <si>
    <t>End Date
(Today)</t>
  </si>
  <si>
    <t>Start Date
(Previous Date)</t>
  </si>
  <si>
    <t>Active Shooter or Attack for GSCL Leaders and AP
(6 Month)</t>
  </si>
  <si>
    <t>Emergency Prepardness and Response for GSCL
(1 Year)</t>
  </si>
  <si>
    <t>Hepatitis B Vaccination Consent
(One Time)</t>
  </si>
  <si>
    <t>Hazard Communication and Bloodborne Pathogens
(1 Year)</t>
  </si>
  <si>
    <t>Emergency Response Team Statement of Understanding
(1 Year)</t>
  </si>
  <si>
    <t>CPR/AED
(2 Yr)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</si>
</sst>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sz val="10"/>
      <color rgb="FF000000"/>
      <name val="Arial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4A4A4A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1" fillId="0" borderId="4" xfId="0" applyFont="1" applyBorder="1" applyAlignment="1">
      <alignment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vertical="center"/>
    </xf>
    <xf numFmtId="0" fontId="3" fillId="0" borderId="5" xfId="0" applyFont="1" applyBorder="1" applyAlignment="1">
      <alignment vertical="top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3" fillId="0" borderId="6" xfId="0" applyFont="1" applyBorder="1" applyAlignment="1">
      <alignment vertical="top" wrapText="1"/>
    </xf>
    <xf numFmtId="0" fontId="0" fillId="0" borderId="5" xfId="0" applyBorder="1"/>
    <xf numFmtId="49" fontId="5" fillId="0" borderId="6" xfId="0" applyNumberFormat="1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49" fontId="6" fillId="0" borderId="5" xfId="0" applyNumberFormat="1" applyFont="1" applyBorder="1"/>
    <xf numFmtId="49" fontId="5" fillId="0" borderId="0" xfId="0" applyNumberFormat="1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5" fillId="0" borderId="0" xfId="0" applyFont="1" applyAlignment="1">
      <alignment vertical="top" wrapText="1"/>
    </xf>
    <xf numFmtId="14" fontId="5" fillId="0" borderId="0" xfId="0" applyNumberFormat="1" applyFont="1" applyAlignment="1">
      <alignment horizontal="right" vertical="top"/>
    </xf>
    <xf numFmtId="14" fontId="0" fillId="0" borderId="0" xfId="0" applyNumberFormat="1"/>
    <xf numFmtId="0" fontId="0" fillId="0" borderId="5" xfId="0" applyBorder="1" applyAlignment="1">
      <alignment horizontal="center"/>
    </xf>
    <xf numFmtId="49" fontId="1" fillId="0" borderId="4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top" wrapText="1"/>
    </xf>
    <xf numFmtId="49" fontId="3" fillId="0" borderId="0" xfId="0" applyNumberFormat="1" applyFont="1" applyAlignment="1">
      <alignment vertical="top" wrapText="1"/>
    </xf>
    <xf numFmtId="49" fontId="3" fillId="0" borderId="6" xfId="0" applyNumberFormat="1" applyFont="1" applyBorder="1" applyAlignment="1">
      <alignment vertical="top" wrapText="1"/>
    </xf>
    <xf numFmtId="49" fontId="0" fillId="0" borderId="0" xfId="0" applyNumberFormat="1"/>
    <xf numFmtId="14" fontId="0" fillId="0" borderId="9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14" fontId="5" fillId="0" borderId="0" xfId="0" applyNumberFormat="1" applyFont="1" applyAlignment="1">
      <alignment vertical="top" wrapText="1"/>
    </xf>
    <xf numFmtId="0" fontId="0" fillId="4" borderId="8" xfId="0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4" fontId="7" fillId="0" borderId="0" xfId="0" applyNumberFormat="1" applyFont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m/d/yyyy"/>
      <alignment horizontal="center"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161925</xdr:colOff>
      <xdr:row>0</xdr:row>
      <xdr:rowOff>114300</xdr:rowOff>
    </xdr:from>
    <xdr:to>
      <xdr:col>15</xdr:col>
      <xdr:colOff>142875</xdr:colOff>
      <xdr:row>1</xdr:row>
      <xdr:rowOff>177800</xdr:rowOff>
    </xdr:to>
    <xdr:sp macro="[0]!AllDa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12E65E-7F92-52FC-AAFA-F36D2F44645E}"/>
            </a:ext>
          </a:extLst>
        </xdr:cNvPr>
        <xdr:cNvSpPr/>
      </xdr:nvSpPr>
      <xdr:spPr>
        <a:xfrm>
          <a:off x="24126825" y="114300"/>
          <a:ext cx="1809750" cy="6731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Clean up Dates (Press ME)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BF490E-F247-4940-91F0-02CD82D137A1}" name="Table1" displayName="Table1" ref="A1:L2" totalsRowShown="0" headerRowDxfId="12">
  <autoFilter ref="A1:L2" xr:uid="{85BF490E-F247-4940-91F0-02CD82D137A1}"/>
  <tableColumns count="12">
    <tableColumn id="1" xr3:uid="{97F14207-9295-429D-92C3-2876C4F0226B}" name="Location" dataDxfId="11"/>
    <tableColumn id="2" xr3:uid="{363F35F6-AE77-4AD7-B59C-6A9C745F71CF}" name="Team Member ID" dataDxfId="10"/>
    <tableColumn id="3" xr3:uid="{1C46EB8B-6144-4113-AF7E-B57AE3797390}" name="Project Worker" dataDxfId="9"/>
    <tableColumn id="4" xr3:uid="{F11A5DBE-B47E-4619-85BE-767F569E0FAE}" name="Job Profile" dataDxfId="8"/>
    <tableColumn id="5" xr3:uid="{D9C8426C-EFD7-4160-A8CA-F042845A6061}" name="Learning- ERT Statement of Understanding Completion Date" dataDxfId="7"/>
    <tableColumn id="6" xr3:uid="{7405C9A2-9371-4D1F-89E9-E30EA227EA9D}" name="Learning- Active Shooter for AP and Leaders (6 month- HQ Driven) Completion Date" dataDxfId="6"/>
    <tableColumn id="7" xr3:uid="{C7A8B59C-6A60-4D52-9265-720647239695}" name="Learning- Emergency Preparedness and Response (1 Yr.- HQ Driven) Completion Date" dataDxfId="5"/>
    <tableColumn id="8" xr3:uid="{4E0823DD-6C2F-4A83-B226-6C20A8252FD6}" name="Learning- Hazard Communication/ Bloodborne Pathogens (1 Yr.) Completion Date" dataDxfId="4"/>
    <tableColumn id="9" xr3:uid="{060B8FC6-E773-4ED5-8319-D33F8FCE1F9F}" name="Learning- Hepatitis B Consent (one time) Completion Date" dataDxfId="3"/>
    <tableColumn id="10" xr3:uid="{D72F1CF9-61D6-4566-B23C-4535FA992312}" name="License- First Aid (2 Yr.)- Issued Date" dataDxfId="2"/>
    <tableColumn id="11" xr3:uid="{C2904238-4C2A-430E-80D7-AF110E69BAAC}" name="License- AED/CPR (2 Yr.) Issued Date" dataDxfId="1"/>
    <tableColumn id="12" xr3:uid="{029FEFFC-1045-4807-BAAC-477F1B31BD2D}" name="Work Shif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3"/>
  <sheetViews>
    <sheetView tabSelected="1" workbookViewId="0">
      <selection activeCell="C8" sqref="C8"/>
    </sheetView>
  </sheetViews>
  <sheetFormatPr defaultRowHeight="14.5" x14ac:dyDescent="0.35"/>
  <cols>
    <col min="1" max="1" width="16.90625" customWidth="1"/>
    <col min="2" max="2" width="16.90625" style="25" customWidth="1"/>
    <col min="3" max="3" width="16.90625" customWidth="1"/>
    <col min="4" max="4" width="16.453125" customWidth="1"/>
    <col min="5" max="5" width="9.08984375" style="1"/>
    <col min="6" max="6" width="26" style="1" customWidth="1"/>
    <col min="7" max="12" width="29.90625" customWidth="1"/>
    <col min="14" max="14" width="14.54296875" style="1" customWidth="1"/>
    <col min="15" max="15" width="13.1796875" style="1" customWidth="1"/>
    <col min="16" max="16" width="44.81640625" customWidth="1"/>
  </cols>
  <sheetData>
    <row r="1" spans="1:16" ht="39" customHeight="1" thickBot="1" x14ac:dyDescent="0.85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  <c r="N1" s="32" t="s">
        <v>23</v>
      </c>
      <c r="O1" s="31" t="s">
        <v>22</v>
      </c>
    </row>
    <row r="2" spans="1:16" ht="43.5" x14ac:dyDescent="0.35">
      <c r="A2" s="2" t="s">
        <v>1</v>
      </c>
      <c r="B2" s="21" t="s">
        <v>2</v>
      </c>
      <c r="C2" s="2" t="s">
        <v>3</v>
      </c>
      <c r="D2" s="2" t="s">
        <v>4</v>
      </c>
      <c r="E2" s="2" t="s">
        <v>5</v>
      </c>
      <c r="F2" s="3" t="s">
        <v>28</v>
      </c>
      <c r="G2" s="4" t="s">
        <v>25</v>
      </c>
      <c r="H2" s="4" t="s">
        <v>24</v>
      </c>
      <c r="I2" s="4" t="s">
        <v>29</v>
      </c>
      <c r="J2" s="4" t="s">
        <v>18</v>
      </c>
      <c r="K2" s="3" t="s">
        <v>26</v>
      </c>
      <c r="L2" s="4" t="s">
        <v>27</v>
      </c>
      <c r="N2" s="26">
        <f ca="1">TODAY()-183</f>
        <v>45088</v>
      </c>
      <c r="O2" s="27">
        <f ca="1">TODAY()</f>
        <v>45271</v>
      </c>
      <c r="P2" s="1" t="s">
        <v>19</v>
      </c>
    </row>
    <row r="3" spans="1:16" x14ac:dyDescent="0.35">
      <c r="A3" s="5"/>
      <c r="B3" s="22"/>
      <c r="C3" s="6"/>
      <c r="D3" s="5"/>
      <c r="E3" s="6"/>
      <c r="F3" s="7" t="str">
        <f ca="1">IFERROR(IF(AND(VLOOKUP(B3,'ERT Report Paste'!B:K,4,FALSE)&gt;=$N$3,VLOOKUP(B3,'ERT Report Paste'!B:K,4,FALSE)&lt;=$O$3),"YES","NO"),"NO")</f>
        <v>NO</v>
      </c>
      <c r="G3" s="7" t="str">
        <f ca="1">IFERROR(IF(AND(VLOOKUP(B3,'ERT Report Paste'!B:L,6,FALSE)&gt;=$N$3,VLOOKUP(B3,'ERT Report Paste'!B:L,6,FALSE)&lt;=$O$3),"YES","NO"),"NO")</f>
        <v>NO</v>
      </c>
      <c r="H3" s="7" t="str">
        <f ca="1">IFERROR(IF(AND(VLOOKUP(B3,'ERT Report Paste'!B:L,5,FALSE)&gt;=$N$2,VLOOKUP(B3,'ERT Report Paste'!B:L,5,FALSE)&lt;=$O$2),"YES","NO"),"NO")</f>
        <v>NO</v>
      </c>
      <c r="I3" s="7" t="str">
        <f ca="1">IFERROR(IF(AND(VLOOKUP(B3,'ERT Report Paste'!B:L,10,FALSE)&gt;=$N$4,VLOOKUP(B3,'ERT Report Paste'!B:L,10,FALSE)&lt;=$O$4),"YES","NO"),"NO")</f>
        <v>NO</v>
      </c>
      <c r="J3" s="7" t="str">
        <f ca="1">IFERROR(IF(AND(VLOOKUP(B3,'ERT Report Paste'!B:L,9,FALSE)&gt;=$N$4,VLOOKUP(B3,'ERT Report Paste'!B:L,9,FALSE)&lt;=$O$4),"YES","NO"),"NO")</f>
        <v>NO</v>
      </c>
      <c r="K3" s="7" t="str">
        <f ca="1">IFERROR(IF(VLOOKUP(B3,'ERT Report Paste'!B:L,8,FALSE)&lt;=$O$4,"YES","NO"),"NO")</f>
        <v>NO</v>
      </c>
      <c r="L3" s="7" t="str">
        <f ca="1">IFERROR(IF(AND(VLOOKUP(B3,'ERT Report Paste'!B:L,7,FALSE)&gt;=$N$3,VLOOKUP(B3,'ERT Report Paste'!B:L,7,FALSE)&lt;=$O$3),"YES","NO"),"NO")</f>
        <v>NO</v>
      </c>
      <c r="N3" s="26">
        <f ca="1">TODAY()-365</f>
        <v>44906</v>
      </c>
      <c r="O3" s="27">
        <f ca="1">TODAY()</f>
        <v>45271</v>
      </c>
      <c r="P3" s="1" t="s">
        <v>20</v>
      </c>
    </row>
    <row r="4" spans="1:16" ht="15" thickBot="1" x14ac:dyDescent="0.4">
      <c r="A4" s="5"/>
      <c r="B4" s="22"/>
      <c r="C4" s="6"/>
      <c r="D4" s="5"/>
      <c r="E4" s="6"/>
      <c r="F4" s="7" t="str">
        <f ca="1">IFERROR(IF(AND(VLOOKUP(B4,'ERT Report Paste'!B:K,4,FALSE)&gt;=$N$3,VLOOKUP(B4,'ERT Report Paste'!B:K,4,FALSE)&lt;=$O$3),"YES","NO"),"NO")</f>
        <v>NO</v>
      </c>
      <c r="G4" s="7" t="str">
        <f ca="1">IFERROR(IF(AND(VLOOKUP(B4,'ERT Report Paste'!B:L,6,FALSE)&gt;=$N$3,VLOOKUP(B4,'ERT Report Paste'!B:L,6,FALSE)&lt;=$O$3),"YES","NO"),"NO")</f>
        <v>NO</v>
      </c>
      <c r="H4" s="7" t="str">
        <f ca="1">IFERROR(IF(AND(VLOOKUP(B4,'ERT Report Paste'!B:L,5,FALSE)&gt;=$N$2,VLOOKUP(B4,'ERT Report Paste'!B:L,5,FALSE)&lt;=$O$2),"YES","NO"),"NO")</f>
        <v>NO</v>
      </c>
      <c r="I4" s="7" t="str">
        <f ca="1">IFERROR(IF(AND(VLOOKUP(B4,'ERT Report Paste'!B:L,10,FALSE)&gt;=$N$4,VLOOKUP(B4,'ERT Report Paste'!B:L,10,FALSE)&lt;=$O$4),"YES","NO"),"NO")</f>
        <v>NO</v>
      </c>
      <c r="J4" s="7" t="str">
        <f ca="1">IFERROR(IF(AND(VLOOKUP(B4,'ERT Report Paste'!B:L,9,FALSE)&gt;=$N$4,VLOOKUP(B4,'ERT Report Paste'!B:L,9,FALSE)&lt;=$O$4),"YES","NO"),"NO")</f>
        <v>NO</v>
      </c>
      <c r="K4" s="7" t="str">
        <f ca="1">IFERROR(IF(VLOOKUP(B4,'ERT Report Paste'!B:L,8,FALSE)&lt;=$O$4,"YES","NO"),"NO")</f>
        <v>NO</v>
      </c>
      <c r="L4" s="7" t="str">
        <f ca="1">IFERROR(IF(AND(VLOOKUP(B4,'ERT Report Paste'!B:L,7,FALSE)&gt;=$N$3,VLOOKUP(B4,'ERT Report Paste'!B:L,7,FALSE)&lt;=$O$3),"YES","NO"),"NO")</f>
        <v>NO</v>
      </c>
      <c r="N4" s="28">
        <f ca="1">TODAY()-730</f>
        <v>44541</v>
      </c>
      <c r="O4" s="29">
        <f ca="1">TODAY()</f>
        <v>45271</v>
      </c>
      <c r="P4" s="1" t="s">
        <v>21</v>
      </c>
    </row>
    <row r="5" spans="1:16" x14ac:dyDescent="0.35">
      <c r="A5" s="5"/>
      <c r="B5" s="22"/>
      <c r="C5" s="6"/>
      <c r="D5" s="5"/>
      <c r="E5" s="6"/>
      <c r="F5" s="7" t="str">
        <f ca="1">IFERROR(IF(AND(VLOOKUP(B5,'ERT Report Paste'!B:K,4,FALSE)&gt;=$N$3,VLOOKUP(B5,'ERT Report Paste'!B:K,4,FALSE)&lt;=$O$3),"YES","NO"),"NO")</f>
        <v>NO</v>
      </c>
      <c r="G5" s="7" t="str">
        <f ca="1">IFERROR(IF(AND(VLOOKUP(B5,'ERT Report Paste'!B:L,6,FALSE)&gt;=$N$3,VLOOKUP(B5,'ERT Report Paste'!B:L,6,FALSE)&lt;=$O$3),"YES","NO"),"NO")</f>
        <v>NO</v>
      </c>
      <c r="H5" s="7" t="str">
        <f ca="1">IFERROR(IF(AND(VLOOKUP(B5,'ERT Report Paste'!B:L,5,FALSE)&gt;=$N$2,VLOOKUP(B5,'ERT Report Paste'!B:L,5,FALSE)&lt;=$O$2),"YES","NO"),"NO")</f>
        <v>NO</v>
      </c>
      <c r="I5" s="7" t="str">
        <f ca="1">IFERROR(IF(AND(VLOOKUP(B5,'ERT Report Paste'!B:L,10,FALSE)&gt;=$N$4,VLOOKUP(B5,'ERT Report Paste'!B:L,10,FALSE)&lt;=$O$4),"YES","NO"),"NO")</f>
        <v>NO</v>
      </c>
      <c r="J5" s="7" t="str">
        <f ca="1">IFERROR(IF(AND(VLOOKUP(B5,'ERT Report Paste'!B:L,9,FALSE)&gt;=$N$4,VLOOKUP(B5,'ERT Report Paste'!B:L,9,FALSE)&lt;=$O$4),"YES","NO"),"NO")</f>
        <v>NO</v>
      </c>
      <c r="K5" s="7" t="str">
        <f ca="1">IFERROR(IF(VLOOKUP(B5,'ERT Report Paste'!B:L,8,FALSE)&lt;=$O$4,"YES","NO"),"NO")</f>
        <v>NO</v>
      </c>
      <c r="L5" s="7" t="str">
        <f ca="1">IFERROR(IF(AND(VLOOKUP(B5,'ERT Report Paste'!B:L,7,FALSE)&gt;=$N$3,VLOOKUP(B5,'ERT Report Paste'!B:L,7,FALSE)&lt;=$O$3),"YES","NO"),"NO")</f>
        <v>NO</v>
      </c>
    </row>
    <row r="6" spans="1:16" x14ac:dyDescent="0.35">
      <c r="A6" s="5"/>
      <c r="B6" s="12"/>
      <c r="C6" s="13"/>
      <c r="D6" s="5"/>
      <c r="E6" s="13"/>
      <c r="F6" s="7" t="str">
        <f ca="1">IFERROR(IF(AND(VLOOKUP(B6,'ERT Report Paste'!B:K,4,FALSE)&gt;=$N$3,VLOOKUP(B6,'ERT Report Paste'!B:K,4,FALSE)&lt;=$O$3),"YES","NO"),"NO")</f>
        <v>NO</v>
      </c>
      <c r="G6" s="7" t="str">
        <f ca="1">IFERROR(IF(AND(VLOOKUP(B6,'ERT Report Paste'!B:L,6,FALSE)&gt;=$N$3,VLOOKUP(B6,'ERT Report Paste'!B:L,6,FALSE)&lt;=$O$3),"YES","NO"),"NO")</f>
        <v>NO</v>
      </c>
      <c r="H6" s="7" t="str">
        <f ca="1">IFERROR(IF(AND(VLOOKUP(B6,'ERT Report Paste'!B:L,5,FALSE)&gt;=$N$2,VLOOKUP(B6,'ERT Report Paste'!B:L,5,FALSE)&lt;=$O$2),"YES","NO"),"NO")</f>
        <v>NO</v>
      </c>
      <c r="I6" s="7" t="str">
        <f ca="1">IFERROR(IF(AND(VLOOKUP(B6,'ERT Report Paste'!B:L,10,FALSE)&gt;=$N$4,VLOOKUP(B6,'ERT Report Paste'!B:L,10,FALSE)&lt;=$O$4),"YES","NO"),"NO")</f>
        <v>NO</v>
      </c>
      <c r="J6" s="7" t="str">
        <f ca="1">IFERROR(IF(AND(VLOOKUP(B6,'ERT Report Paste'!B:L,9,FALSE)&gt;=$N$4,VLOOKUP(B6,'ERT Report Paste'!B:L,9,FALSE)&lt;=$O$4),"YES","NO"),"NO")</f>
        <v>NO</v>
      </c>
      <c r="K6" s="7" t="str">
        <f ca="1">IFERROR(IF(VLOOKUP(B6,'ERT Report Paste'!B:L,8,FALSE)&lt;=$O$4,"YES","NO"),"NO")</f>
        <v>NO</v>
      </c>
      <c r="L6" s="7" t="str">
        <f ca="1">IFERROR(IF(AND(VLOOKUP(B6,'ERT Report Paste'!B:L,7,FALSE)&gt;=$N$3,VLOOKUP(B6,'ERT Report Paste'!B:L,7,FALSE)&lt;=$O$3),"YES","NO"),"NO")</f>
        <v>NO</v>
      </c>
    </row>
    <row r="7" spans="1:16" x14ac:dyDescent="0.35">
      <c r="A7" s="5"/>
      <c r="B7" s="12"/>
      <c r="C7" s="13"/>
      <c r="D7" s="5"/>
      <c r="E7" s="13"/>
      <c r="F7" s="7" t="str">
        <f ca="1">IFERROR(IF(AND(VLOOKUP(B7,'ERT Report Paste'!B:K,4,FALSE)&gt;=$N$3,VLOOKUP(B7,'ERT Report Paste'!B:K,4,FALSE)&lt;=$O$3),"YES","NO"),"NO")</f>
        <v>NO</v>
      </c>
      <c r="G7" s="7" t="str">
        <f ca="1">IFERROR(IF(AND(VLOOKUP(B7,'ERT Report Paste'!B:L,6,FALSE)&gt;=$N$3,VLOOKUP(B7,'ERT Report Paste'!B:L,6,FALSE)&lt;=$O$3),"YES","NO"),"NO")</f>
        <v>NO</v>
      </c>
      <c r="H7" s="7" t="str">
        <f ca="1">IFERROR(IF(AND(VLOOKUP(B7,'ERT Report Paste'!B:L,5,FALSE)&gt;=$N$2,VLOOKUP(B7,'ERT Report Paste'!B:L,5,FALSE)&lt;=$O$2),"YES","NO"),"NO")</f>
        <v>NO</v>
      </c>
      <c r="I7" s="7" t="str">
        <f ca="1">IFERROR(IF(AND(VLOOKUP(B7,'ERT Report Paste'!B:L,10,FALSE)&gt;=$N$4,VLOOKUP(B7,'ERT Report Paste'!B:L,10,FALSE)&lt;=$O$4),"YES","NO"),"NO")</f>
        <v>NO</v>
      </c>
      <c r="J7" s="7" t="str">
        <f ca="1">IFERROR(IF(AND(VLOOKUP(B7,'ERT Report Paste'!B:L,9,FALSE)&gt;=$N$4,VLOOKUP(B7,'ERT Report Paste'!B:L,9,FALSE)&lt;=$O$4),"YES","NO"),"NO")</f>
        <v>NO</v>
      </c>
      <c r="K7" s="7" t="str">
        <f ca="1">IFERROR(IF(VLOOKUP(B7,'ERT Report Paste'!B:L,8,FALSE)&lt;=$O$4,"YES","NO"),"NO")</f>
        <v>NO</v>
      </c>
      <c r="L7" s="7" t="str">
        <f ca="1">IFERROR(IF(AND(VLOOKUP(B7,'ERT Report Paste'!B:L,7,FALSE)&gt;=$N$3,VLOOKUP(B7,'ERT Report Paste'!B:L,7,FALSE)&lt;=$O$3),"YES","NO"),"NO")</f>
        <v>NO</v>
      </c>
    </row>
    <row r="8" spans="1:16" x14ac:dyDescent="0.35">
      <c r="A8" s="5"/>
      <c r="B8" s="12"/>
      <c r="C8" s="13"/>
      <c r="D8" s="5"/>
      <c r="E8" s="13"/>
      <c r="F8" s="7" t="str">
        <f ca="1">IFERROR(IF(AND(VLOOKUP(B8,'ERT Report Paste'!B:K,4,FALSE)&gt;=$N$3,VLOOKUP(B8,'ERT Report Paste'!B:K,4,FALSE)&lt;=$O$3),"YES","NO"),"NO")</f>
        <v>NO</v>
      </c>
      <c r="G8" s="7" t="str">
        <f ca="1">IFERROR(IF(AND(VLOOKUP(B8,'ERT Report Paste'!B:L,6,FALSE)&gt;=$N$3,VLOOKUP(B8,'ERT Report Paste'!B:L,6,FALSE)&lt;=$O$3),"YES","NO"),"NO")</f>
        <v>NO</v>
      </c>
      <c r="H8" s="7" t="str">
        <f ca="1">IFERROR(IF(AND(VLOOKUP(B8,'ERT Report Paste'!B:L,5,FALSE)&gt;=$N$2,VLOOKUP(B8,'ERT Report Paste'!B:L,5,FALSE)&lt;=$O$2),"YES","NO"),"NO")</f>
        <v>NO</v>
      </c>
      <c r="I8" s="7" t="str">
        <f ca="1">IFERROR(IF(AND(VLOOKUP(B8,'ERT Report Paste'!B:L,10,FALSE)&gt;=$N$4,VLOOKUP(B8,'ERT Report Paste'!B:L,10,FALSE)&lt;=$O$4),"YES","NO"),"NO")</f>
        <v>NO</v>
      </c>
      <c r="J8" s="7" t="str">
        <f ca="1">IFERROR(IF(AND(VLOOKUP(B8,'ERT Report Paste'!B:L,9,FALSE)&gt;=$N$4,VLOOKUP(B8,'ERT Report Paste'!B:L,9,FALSE)&lt;=$O$4),"YES","NO"),"NO")</f>
        <v>NO</v>
      </c>
      <c r="K8" s="7" t="str">
        <f ca="1">IFERROR(IF(VLOOKUP(B8,'ERT Report Paste'!B:L,8,FALSE)&lt;=$O$4,"YES","NO"),"NO")</f>
        <v>NO</v>
      </c>
      <c r="L8" s="7" t="str">
        <f ca="1">IFERROR(IF(AND(VLOOKUP(B8,'ERT Report Paste'!B:L,7,FALSE)&gt;=$N$3,VLOOKUP(B8,'ERT Report Paste'!B:L,7,FALSE)&lt;=$O$3),"YES","NO"),"NO")</f>
        <v>NO</v>
      </c>
    </row>
    <row r="9" spans="1:16" x14ac:dyDescent="0.35">
      <c r="A9" s="5"/>
      <c r="B9" s="12"/>
      <c r="C9" s="13"/>
      <c r="D9" s="5"/>
      <c r="E9" s="13"/>
      <c r="F9" s="7" t="str">
        <f ca="1">IFERROR(IF(AND(VLOOKUP(B9,'ERT Report Paste'!B:K,4,FALSE)&gt;=$N$3,VLOOKUP(B9,'ERT Report Paste'!B:K,4,FALSE)&lt;=$O$3),"YES","NO"),"NO")</f>
        <v>NO</v>
      </c>
      <c r="G9" s="7" t="str">
        <f ca="1">IFERROR(IF(AND(VLOOKUP(B9,'ERT Report Paste'!B:L,6,FALSE)&gt;=$N$3,VLOOKUP(B9,'ERT Report Paste'!B:L,6,FALSE)&lt;=$O$3),"YES","NO"),"NO")</f>
        <v>NO</v>
      </c>
      <c r="H9" s="7" t="str">
        <f ca="1">IFERROR(IF(AND(VLOOKUP(B9,'ERT Report Paste'!B:L,5,FALSE)&gt;=$N$2,VLOOKUP(B9,'ERT Report Paste'!B:L,5,FALSE)&lt;=$O$2),"YES","NO"),"NO")</f>
        <v>NO</v>
      </c>
      <c r="I9" s="7" t="str">
        <f ca="1">IFERROR(IF(AND(VLOOKUP(B9,'ERT Report Paste'!B:L,10,FALSE)&gt;=$N$4,VLOOKUP(B9,'ERT Report Paste'!B:L,10,FALSE)&lt;=$O$4),"YES","NO"),"NO")</f>
        <v>NO</v>
      </c>
      <c r="J9" s="7" t="str">
        <f ca="1">IFERROR(IF(AND(VLOOKUP(B9,'ERT Report Paste'!B:L,9,FALSE)&gt;=$N$4,VLOOKUP(B9,'ERT Report Paste'!B:L,9,FALSE)&lt;=$O$4),"YES","NO"),"NO")</f>
        <v>NO</v>
      </c>
      <c r="K9" s="7" t="str">
        <f ca="1">IFERROR(IF(VLOOKUP(B9,'ERT Report Paste'!B:L,8,FALSE)&lt;=$O$4,"YES","NO"),"NO")</f>
        <v>NO</v>
      </c>
      <c r="L9" s="7" t="str">
        <f ca="1">IFERROR(IF(AND(VLOOKUP(B9,'ERT Report Paste'!B:L,7,FALSE)&gt;=$N$3,VLOOKUP(B9,'ERT Report Paste'!B:L,7,FALSE)&lt;=$O$3),"YES","NO"),"NO")</f>
        <v>NO</v>
      </c>
    </row>
    <row r="10" spans="1:16" x14ac:dyDescent="0.35">
      <c r="A10" s="5"/>
      <c r="B10" s="22"/>
      <c r="C10" s="6"/>
      <c r="D10" s="5"/>
      <c r="E10" s="6"/>
      <c r="F10" s="7" t="str">
        <f ca="1">IFERROR(IF(AND(VLOOKUP(B10,'ERT Report Paste'!B:K,4,FALSE)&gt;=$N$3,VLOOKUP(B10,'ERT Report Paste'!B:K,4,FALSE)&lt;=$O$3),"YES","NO"),"NO")</f>
        <v>NO</v>
      </c>
      <c r="G10" s="7" t="str">
        <f ca="1">IFERROR(IF(AND(VLOOKUP(B10,'ERT Report Paste'!B:L,6,FALSE)&gt;=$N$3,VLOOKUP(B10,'ERT Report Paste'!B:L,6,FALSE)&lt;=$O$3),"YES","NO"),"NO")</f>
        <v>NO</v>
      </c>
      <c r="H10" s="7" t="str">
        <f ca="1">IFERROR(IF(AND(VLOOKUP(B10,'ERT Report Paste'!B:L,5,FALSE)&gt;=$N$2,VLOOKUP(B10,'ERT Report Paste'!B:L,5,FALSE)&lt;=$O$2),"YES","NO"),"NO")</f>
        <v>NO</v>
      </c>
      <c r="I10" s="7" t="str">
        <f ca="1">IFERROR(IF(AND(VLOOKUP(B10,'ERT Report Paste'!B:L,10,FALSE)&gt;=$N$4,VLOOKUP(B10,'ERT Report Paste'!B:L,10,FALSE)&lt;=$O$4),"YES","NO"),"NO")</f>
        <v>NO</v>
      </c>
      <c r="J10" s="7" t="str">
        <f ca="1">IFERROR(IF(AND(VLOOKUP(B10,'ERT Report Paste'!B:L,9,FALSE)&gt;=$N$4,VLOOKUP(B10,'ERT Report Paste'!B:L,9,FALSE)&lt;=$O$4),"YES","NO"),"NO")</f>
        <v>NO</v>
      </c>
      <c r="K10" s="7" t="str">
        <f ca="1">IFERROR(IF(VLOOKUP(B10,'ERT Report Paste'!B:L,8,FALSE)&lt;=$O$4,"YES","NO"),"NO")</f>
        <v>NO</v>
      </c>
      <c r="L10" s="7" t="str">
        <f ca="1">IFERROR(IF(AND(VLOOKUP(B10,'ERT Report Paste'!B:L,7,FALSE)&gt;=$N$3,VLOOKUP(B10,'ERT Report Paste'!B:L,7,FALSE)&lt;=$O$3),"YES","NO"),"NO")</f>
        <v>NO</v>
      </c>
    </row>
    <row r="11" spans="1:16" x14ac:dyDescent="0.35">
      <c r="A11" s="5"/>
      <c r="B11" s="12"/>
      <c r="C11" s="6"/>
      <c r="D11" s="5"/>
      <c r="E11" s="6"/>
      <c r="F11" s="7" t="str">
        <f ca="1">IFERROR(IF(AND(VLOOKUP(B11,'ERT Report Paste'!B:K,4,FALSE)&gt;=$N$3,VLOOKUP(B11,'ERT Report Paste'!B:K,4,FALSE)&lt;=$O$3),"YES","NO"),"NO")</f>
        <v>NO</v>
      </c>
      <c r="G11" s="7" t="str">
        <f ca="1">IFERROR(IF(AND(VLOOKUP(B11,'ERT Report Paste'!B:L,6,FALSE)&gt;=$N$3,VLOOKUP(B11,'ERT Report Paste'!B:L,6,FALSE)&lt;=$O$3),"YES","NO"),"NO")</f>
        <v>NO</v>
      </c>
      <c r="H11" s="7" t="str">
        <f ca="1">IFERROR(IF(AND(VLOOKUP(B11,'ERT Report Paste'!B:L,5,FALSE)&gt;=$N$2,VLOOKUP(B11,'ERT Report Paste'!B:L,5,FALSE)&lt;=$O$2),"YES","NO"),"NO")</f>
        <v>NO</v>
      </c>
      <c r="I11" s="7" t="str">
        <f ca="1">IFERROR(IF(AND(VLOOKUP(B11,'ERT Report Paste'!B:L,10,FALSE)&gt;=$N$4,VLOOKUP(B11,'ERT Report Paste'!B:L,10,FALSE)&lt;=$O$4),"YES","NO"),"NO")</f>
        <v>NO</v>
      </c>
      <c r="J11" s="7" t="str">
        <f ca="1">IFERROR(IF(AND(VLOOKUP(B11,'ERT Report Paste'!B:L,9,FALSE)&gt;=$N$4,VLOOKUP(B11,'ERT Report Paste'!B:L,9,FALSE)&lt;=$O$4),"YES","NO"),"NO")</f>
        <v>NO</v>
      </c>
      <c r="K11" s="7" t="str">
        <f ca="1">IFERROR(IF(VLOOKUP(B11,'ERT Report Paste'!B:L,8,FALSE)&lt;=$O$4,"YES","NO"),"NO")</f>
        <v>NO</v>
      </c>
      <c r="L11" s="7" t="str">
        <f ca="1">IFERROR(IF(AND(VLOOKUP(B11,'ERT Report Paste'!B:L,7,FALSE)&gt;=$N$3,VLOOKUP(B11,'ERT Report Paste'!B:L,7,FALSE)&lt;=$O$3),"YES","NO"),"NO")</f>
        <v>NO</v>
      </c>
    </row>
    <row r="12" spans="1:16" x14ac:dyDescent="0.35">
      <c r="A12" s="5"/>
      <c r="B12" s="22"/>
      <c r="C12" s="6"/>
      <c r="D12" s="5"/>
      <c r="E12" s="6"/>
      <c r="F12" s="7" t="str">
        <f ca="1">IFERROR(IF(AND(VLOOKUP(B12,'ERT Report Paste'!B:K,4,FALSE)&gt;=$N$3,VLOOKUP(B12,'ERT Report Paste'!B:K,4,FALSE)&lt;=$O$3),"YES","NO"),"NO")</f>
        <v>NO</v>
      </c>
      <c r="G12" s="7" t="str">
        <f ca="1">IFERROR(IF(AND(VLOOKUP(B12,'ERT Report Paste'!B:L,6,FALSE)&gt;=$N$3,VLOOKUP(B12,'ERT Report Paste'!B:L,6,FALSE)&lt;=$O$3),"YES","NO"),"NO")</f>
        <v>NO</v>
      </c>
      <c r="H12" s="7" t="str">
        <f ca="1">IFERROR(IF(AND(VLOOKUP(B12,'ERT Report Paste'!B:L,5,FALSE)&gt;=$N$2,VLOOKUP(B12,'ERT Report Paste'!B:L,5,FALSE)&lt;=$O$2),"YES","NO"),"NO")</f>
        <v>NO</v>
      </c>
      <c r="I12" s="7" t="str">
        <f ca="1">IFERROR(IF(AND(VLOOKUP(B12,'ERT Report Paste'!B:L,10,FALSE)&gt;=$N$4,VLOOKUP(B12,'ERT Report Paste'!B:L,10,FALSE)&lt;=$O$4),"YES","NO"),"NO")</f>
        <v>NO</v>
      </c>
      <c r="J12" s="7" t="str">
        <f ca="1">IFERROR(IF(AND(VLOOKUP(B12,'ERT Report Paste'!B:L,9,FALSE)&gt;=$N$4,VLOOKUP(B12,'ERT Report Paste'!B:L,9,FALSE)&lt;=$O$4),"YES","NO"),"NO")</f>
        <v>NO</v>
      </c>
      <c r="K12" s="7" t="str">
        <f ca="1">IFERROR(IF(VLOOKUP(B12,'ERT Report Paste'!B:L,8,FALSE)&lt;=$O$4,"YES","NO"),"NO")</f>
        <v>NO</v>
      </c>
      <c r="L12" s="7" t="str">
        <f ca="1">IFERROR(IF(AND(VLOOKUP(B12,'ERT Report Paste'!B:L,7,FALSE)&gt;=$N$3,VLOOKUP(B12,'ERT Report Paste'!B:L,7,FALSE)&lt;=$O$3),"YES","NO"),"NO")</f>
        <v>NO</v>
      </c>
    </row>
    <row r="13" spans="1:16" x14ac:dyDescent="0.35">
      <c r="A13" s="5"/>
      <c r="B13" s="22"/>
      <c r="C13" s="6"/>
      <c r="D13" s="5"/>
      <c r="E13" s="6"/>
      <c r="F13" s="7" t="str">
        <f ca="1">IFERROR(IF(AND(VLOOKUP(B13,'ERT Report Paste'!B:K,4,FALSE)&gt;=$N$3,VLOOKUP(B13,'ERT Report Paste'!B:K,4,FALSE)&lt;=$O$3),"YES","NO"),"NO")</f>
        <v>NO</v>
      </c>
      <c r="G13" s="7" t="str">
        <f ca="1">IFERROR(IF(AND(VLOOKUP(B13,'ERT Report Paste'!B:L,6,FALSE)&gt;=$N$3,VLOOKUP(B13,'ERT Report Paste'!B:L,6,FALSE)&lt;=$O$3),"YES","NO"),"NO")</f>
        <v>NO</v>
      </c>
      <c r="H13" s="7" t="str">
        <f ca="1">IFERROR(IF(AND(VLOOKUP(B13,'ERT Report Paste'!B:L,5,FALSE)&gt;=$N$2,VLOOKUP(B13,'ERT Report Paste'!B:L,5,FALSE)&lt;=$O$2),"YES","NO"),"NO")</f>
        <v>NO</v>
      </c>
      <c r="I13" s="7" t="str">
        <f ca="1">IFERROR(IF(AND(VLOOKUP(B13,'ERT Report Paste'!B:L,10,FALSE)&gt;=$N$4,VLOOKUP(B13,'ERT Report Paste'!B:L,10,FALSE)&lt;=$O$4),"YES","NO"),"NO")</f>
        <v>NO</v>
      </c>
      <c r="J13" s="7" t="str">
        <f ca="1">IFERROR(IF(AND(VLOOKUP(B13,'ERT Report Paste'!B:L,9,FALSE)&gt;=$N$4,VLOOKUP(B13,'ERT Report Paste'!B:L,9,FALSE)&lt;=$O$4),"YES","NO"),"NO")</f>
        <v>NO</v>
      </c>
      <c r="K13" s="7" t="str">
        <f ca="1">IFERROR(IF(VLOOKUP(B13,'ERT Report Paste'!B:L,8,FALSE)&lt;=$O$4,"YES","NO"),"NO")</f>
        <v>NO</v>
      </c>
      <c r="L13" s="7" t="str">
        <f ca="1">IFERROR(IF(AND(VLOOKUP(B13,'ERT Report Paste'!B:L,7,FALSE)&gt;=$N$3,VLOOKUP(B13,'ERT Report Paste'!B:L,7,FALSE)&lt;=$O$3),"YES","NO"),"NO")</f>
        <v>NO</v>
      </c>
    </row>
    <row r="14" spans="1:16" x14ac:dyDescent="0.35">
      <c r="A14" s="5"/>
      <c r="B14" s="22"/>
      <c r="C14" s="6"/>
      <c r="D14" s="5"/>
      <c r="E14" s="6"/>
      <c r="F14" s="7" t="str">
        <f ca="1">IFERROR(IF(AND(VLOOKUP(B14,'ERT Report Paste'!B:K,4,FALSE)&gt;=$N$3,VLOOKUP(B14,'ERT Report Paste'!B:K,4,FALSE)&lt;=$O$3),"YES","NO"),"NO")</f>
        <v>NO</v>
      </c>
      <c r="G14" s="7" t="str">
        <f ca="1">IFERROR(IF(AND(VLOOKUP(B14,'ERT Report Paste'!B:L,6,FALSE)&gt;=$N$3,VLOOKUP(B14,'ERT Report Paste'!B:L,6,FALSE)&lt;=$O$3),"YES","NO"),"NO")</f>
        <v>NO</v>
      </c>
      <c r="H14" s="7" t="str">
        <f ca="1">IFERROR(IF(AND(VLOOKUP(B14,'ERT Report Paste'!B:L,5,FALSE)&gt;=$N$2,VLOOKUP(B14,'ERT Report Paste'!B:L,5,FALSE)&lt;=$O$2),"YES","NO"),"NO")</f>
        <v>NO</v>
      </c>
      <c r="I14" s="7" t="str">
        <f ca="1">IFERROR(IF(AND(VLOOKUP(B14,'ERT Report Paste'!B:L,10,FALSE)&gt;=$N$4,VLOOKUP(B14,'ERT Report Paste'!B:L,10,FALSE)&lt;=$O$4),"YES","NO"),"NO")</f>
        <v>NO</v>
      </c>
      <c r="J14" s="7" t="str">
        <f ca="1">IFERROR(IF(AND(VLOOKUP(B14,'ERT Report Paste'!B:L,9,FALSE)&gt;=$N$4,VLOOKUP(B14,'ERT Report Paste'!B:L,9,FALSE)&lt;=$O$4),"YES","NO"),"NO")</f>
        <v>NO</v>
      </c>
      <c r="K14" s="7" t="str">
        <f ca="1">IFERROR(IF(VLOOKUP(B14,'ERT Report Paste'!B:L,8,FALSE)&lt;=$O$4,"YES","NO"),"NO")</f>
        <v>NO</v>
      </c>
      <c r="L14" s="7" t="str">
        <f ca="1">IFERROR(IF(AND(VLOOKUP(B14,'ERT Report Paste'!B:L,7,FALSE)&gt;=$N$3,VLOOKUP(B14,'ERT Report Paste'!B:L,7,FALSE)&lt;=$O$3),"YES","NO"),"NO")</f>
        <v>NO</v>
      </c>
    </row>
    <row r="15" spans="1:16" x14ac:dyDescent="0.35">
      <c r="A15" s="5"/>
      <c r="B15" s="12"/>
      <c r="C15" s="13"/>
      <c r="D15" s="5"/>
      <c r="E15" s="13"/>
      <c r="F15" s="7" t="str">
        <f ca="1">IFERROR(IF(AND(VLOOKUP(B15,'ERT Report Paste'!B:K,4,FALSE)&gt;=$N$3,VLOOKUP(B15,'ERT Report Paste'!B:K,4,FALSE)&lt;=$O$3),"YES","NO"),"NO")</f>
        <v>NO</v>
      </c>
      <c r="G15" s="7" t="str">
        <f ca="1">IFERROR(IF(AND(VLOOKUP(B15,'ERT Report Paste'!B:L,6,FALSE)&gt;=$N$3,VLOOKUP(B15,'ERT Report Paste'!B:L,6,FALSE)&lt;=$O$3),"YES","NO"),"NO")</f>
        <v>NO</v>
      </c>
      <c r="H15" s="7" t="str">
        <f ca="1">IFERROR(IF(AND(VLOOKUP(B15,'ERT Report Paste'!B:L,5,FALSE)&gt;=$N$2,VLOOKUP(B15,'ERT Report Paste'!B:L,5,FALSE)&lt;=$O$2),"YES","NO"),"NO")</f>
        <v>NO</v>
      </c>
      <c r="I15" s="7" t="str">
        <f ca="1">IFERROR(IF(AND(VLOOKUP(B15,'ERT Report Paste'!B:L,10,FALSE)&gt;=$N$4,VLOOKUP(B15,'ERT Report Paste'!B:L,10,FALSE)&lt;=$O$4),"YES","NO"),"NO")</f>
        <v>NO</v>
      </c>
      <c r="J15" s="7" t="str">
        <f ca="1">IFERROR(IF(AND(VLOOKUP(B15,'ERT Report Paste'!B:L,9,FALSE)&gt;=$N$4,VLOOKUP(B15,'ERT Report Paste'!B:L,9,FALSE)&lt;=$O$4),"YES","NO"),"NO")</f>
        <v>NO</v>
      </c>
      <c r="K15" s="7" t="str">
        <f ca="1">IFERROR(IF(VLOOKUP(B15,'ERT Report Paste'!B:L,8,FALSE)&lt;=$O$4,"YES","NO"),"NO")</f>
        <v>NO</v>
      </c>
      <c r="L15" s="7" t="str">
        <f ca="1">IFERROR(IF(AND(VLOOKUP(B15,'ERT Report Paste'!B:L,7,FALSE)&gt;=$N$3,VLOOKUP(B15,'ERT Report Paste'!B:L,7,FALSE)&lt;=$O$3),"YES","NO"),"NO")</f>
        <v>NO</v>
      </c>
    </row>
    <row r="16" spans="1:16" x14ac:dyDescent="0.35">
      <c r="A16" s="5"/>
      <c r="B16" s="22"/>
      <c r="C16" s="6"/>
      <c r="D16" s="5"/>
      <c r="E16" s="6"/>
      <c r="F16" s="7" t="str">
        <f ca="1">IFERROR(IF(AND(VLOOKUP(B16,'ERT Report Paste'!B:K,4,FALSE)&gt;=$N$3,VLOOKUP(B16,'ERT Report Paste'!B:K,4,FALSE)&lt;=$O$3),"YES","NO"),"NO")</f>
        <v>NO</v>
      </c>
      <c r="G16" s="7" t="str">
        <f ca="1">IFERROR(IF(AND(VLOOKUP(B16,'ERT Report Paste'!B:L,6,FALSE)&gt;=$N$3,VLOOKUP(B16,'ERT Report Paste'!B:L,6,FALSE)&lt;=$O$3),"YES","NO"),"NO")</f>
        <v>NO</v>
      </c>
      <c r="H16" s="7" t="str">
        <f ca="1">IFERROR(IF(AND(VLOOKUP(B16,'ERT Report Paste'!B:L,5,FALSE)&gt;=$N$2,VLOOKUP(B16,'ERT Report Paste'!B:L,5,FALSE)&lt;=$O$2),"YES","NO"),"NO")</f>
        <v>NO</v>
      </c>
      <c r="I16" s="7" t="str">
        <f ca="1">IFERROR(IF(AND(VLOOKUP(B16,'ERT Report Paste'!B:L,10,FALSE)&gt;=$N$4,VLOOKUP(B16,'ERT Report Paste'!B:L,10,FALSE)&lt;=$O$4),"YES","NO"),"NO")</f>
        <v>NO</v>
      </c>
      <c r="J16" s="7" t="str">
        <f ca="1">IFERROR(IF(AND(VLOOKUP(B16,'ERT Report Paste'!B:L,9,FALSE)&gt;=$N$4,VLOOKUP(B16,'ERT Report Paste'!B:L,9,FALSE)&lt;=$O$4),"YES","NO"),"NO")</f>
        <v>NO</v>
      </c>
      <c r="K16" s="7" t="str">
        <f ca="1">IFERROR(IF(VLOOKUP(B16,'ERT Report Paste'!B:L,8,FALSE)&lt;=$O$4,"YES","NO"),"NO")</f>
        <v>NO</v>
      </c>
      <c r="L16" s="7" t="str">
        <f ca="1">IFERROR(IF(AND(VLOOKUP(B16,'ERT Report Paste'!B:L,7,FALSE)&gt;=$N$3,VLOOKUP(B16,'ERT Report Paste'!B:L,7,FALSE)&lt;=$O$3),"YES","NO"),"NO")</f>
        <v>NO</v>
      </c>
    </row>
    <row r="17" spans="1:12" x14ac:dyDescent="0.35">
      <c r="A17" s="5"/>
      <c r="B17" s="22"/>
      <c r="C17" s="6"/>
      <c r="D17" s="5"/>
      <c r="E17" s="6"/>
      <c r="F17" s="7" t="str">
        <f ca="1">IFERROR(IF(AND(VLOOKUP(B17,'ERT Report Paste'!B:K,4,FALSE)&gt;=$N$3,VLOOKUP(B17,'ERT Report Paste'!B:K,4,FALSE)&lt;=$O$3),"YES","NO"),"NO")</f>
        <v>NO</v>
      </c>
      <c r="G17" s="7" t="str">
        <f ca="1">IFERROR(IF(AND(VLOOKUP(B17,'ERT Report Paste'!B:L,6,FALSE)&gt;=$N$3,VLOOKUP(B17,'ERT Report Paste'!B:L,6,FALSE)&lt;=$O$3),"YES","NO"),"NO")</f>
        <v>NO</v>
      </c>
      <c r="H17" s="7" t="str">
        <f ca="1">IFERROR(IF(AND(VLOOKUP(B17,'ERT Report Paste'!B:L,5,FALSE)&gt;=$N$2,VLOOKUP(B17,'ERT Report Paste'!B:L,5,FALSE)&lt;=$O$2),"YES","NO"),"NO")</f>
        <v>NO</v>
      </c>
      <c r="I17" s="7" t="str">
        <f ca="1">IFERROR(IF(AND(VLOOKUP(B17,'ERT Report Paste'!B:L,10,FALSE)&gt;=$N$4,VLOOKUP(B17,'ERT Report Paste'!B:L,10,FALSE)&lt;=$O$4),"YES","NO"),"NO")</f>
        <v>NO</v>
      </c>
      <c r="J17" s="7" t="str">
        <f ca="1">IFERROR(IF(AND(VLOOKUP(B17,'ERT Report Paste'!B:L,9,FALSE)&gt;=$N$4,VLOOKUP(B17,'ERT Report Paste'!B:L,9,FALSE)&lt;=$O$4),"YES","NO"),"NO")</f>
        <v>NO</v>
      </c>
      <c r="K17" s="7" t="str">
        <f ca="1">IFERROR(IF(VLOOKUP(B17,'ERT Report Paste'!B:L,8,FALSE)&lt;=$O$4,"YES","NO"),"NO")</f>
        <v>NO</v>
      </c>
      <c r="L17" s="7" t="str">
        <f ca="1">IFERROR(IF(AND(VLOOKUP(B17,'ERT Report Paste'!B:L,7,FALSE)&gt;=$N$3,VLOOKUP(B17,'ERT Report Paste'!B:L,7,FALSE)&lt;=$O$3),"YES","NO"),"NO")</f>
        <v>NO</v>
      </c>
    </row>
    <row r="18" spans="1:12" x14ac:dyDescent="0.35">
      <c r="A18" s="5"/>
      <c r="B18" s="12"/>
      <c r="C18" s="13"/>
      <c r="D18" s="5"/>
      <c r="E18" s="13"/>
      <c r="F18" s="7" t="str">
        <f ca="1">IFERROR(IF(AND(VLOOKUP(B18,'ERT Report Paste'!B:K,4,FALSE)&gt;=$N$3,VLOOKUP(B18,'ERT Report Paste'!B:K,4,FALSE)&lt;=$O$3),"YES","NO"),"NO")</f>
        <v>NO</v>
      </c>
      <c r="G18" s="7" t="str">
        <f ca="1">IFERROR(IF(AND(VLOOKUP(B18,'ERT Report Paste'!B:L,6,FALSE)&gt;=$N$3,VLOOKUP(B18,'ERT Report Paste'!B:L,6,FALSE)&lt;=$O$3),"YES","NO"),"NO")</f>
        <v>NO</v>
      </c>
      <c r="H18" s="7" t="str">
        <f ca="1">IFERROR(IF(AND(VLOOKUP(B18,'ERT Report Paste'!B:L,5,FALSE)&gt;=$N$2,VLOOKUP(B18,'ERT Report Paste'!B:L,5,FALSE)&lt;=$O$2),"YES","NO"),"NO")</f>
        <v>NO</v>
      </c>
      <c r="I18" s="7" t="str">
        <f ca="1">IFERROR(IF(AND(VLOOKUP(B18,'ERT Report Paste'!B:L,10,FALSE)&gt;=$N$4,VLOOKUP(B18,'ERT Report Paste'!B:L,10,FALSE)&lt;=$O$4),"YES","NO"),"NO")</f>
        <v>NO</v>
      </c>
      <c r="J18" s="7" t="str">
        <f ca="1">IFERROR(IF(AND(VLOOKUP(B18,'ERT Report Paste'!B:L,9,FALSE)&gt;=$N$4,VLOOKUP(B18,'ERT Report Paste'!B:L,9,FALSE)&lt;=$O$4),"YES","NO"),"NO")</f>
        <v>NO</v>
      </c>
      <c r="K18" s="7" t="str">
        <f ca="1">IFERROR(IF(VLOOKUP(B18,'ERT Report Paste'!B:L,8,FALSE)&lt;=$O$4,"YES","NO"),"NO")</f>
        <v>NO</v>
      </c>
      <c r="L18" s="7" t="str">
        <f ca="1">IFERROR(IF(AND(VLOOKUP(B18,'ERT Report Paste'!B:L,7,FALSE)&gt;=$N$3,VLOOKUP(B18,'ERT Report Paste'!B:L,7,FALSE)&lt;=$O$3),"YES","NO"),"NO")</f>
        <v>NO</v>
      </c>
    </row>
    <row r="19" spans="1:12" x14ac:dyDescent="0.35">
      <c r="A19" s="5"/>
      <c r="B19" s="12"/>
      <c r="C19" s="13"/>
      <c r="D19" s="5"/>
      <c r="E19" s="13"/>
      <c r="F19" s="7" t="str">
        <f ca="1">IFERROR(IF(AND(VLOOKUP(B19,'ERT Report Paste'!B:K,4,FALSE)&gt;=$N$3,VLOOKUP(B19,'ERT Report Paste'!B:K,4,FALSE)&lt;=$O$3),"YES","NO"),"NO")</f>
        <v>NO</v>
      </c>
      <c r="G19" s="7" t="str">
        <f ca="1">IFERROR(IF(AND(VLOOKUP(B19,'ERT Report Paste'!B:L,6,FALSE)&gt;=$N$3,VLOOKUP(B19,'ERT Report Paste'!B:L,6,FALSE)&lt;=$O$3),"YES","NO"),"NO")</f>
        <v>NO</v>
      </c>
      <c r="H19" s="7" t="str">
        <f ca="1">IFERROR(IF(AND(VLOOKUP(B19,'ERT Report Paste'!B:L,5,FALSE)&gt;=$N$2,VLOOKUP(B19,'ERT Report Paste'!B:L,5,FALSE)&lt;=$O$2),"YES","NO"),"NO")</f>
        <v>NO</v>
      </c>
      <c r="I19" s="7" t="str">
        <f ca="1">IFERROR(IF(AND(VLOOKUP(B19,'ERT Report Paste'!B:L,10,FALSE)&gt;=$N$4,VLOOKUP(B19,'ERT Report Paste'!B:L,10,FALSE)&lt;=$O$4),"YES","NO"),"NO")</f>
        <v>NO</v>
      </c>
      <c r="J19" s="7" t="str">
        <f ca="1">IFERROR(IF(AND(VLOOKUP(B19,'ERT Report Paste'!B:L,9,FALSE)&gt;=$N$4,VLOOKUP(B19,'ERT Report Paste'!B:L,9,FALSE)&lt;=$O$4),"YES","NO"),"NO")</f>
        <v>NO</v>
      </c>
      <c r="K19" s="7" t="str">
        <f ca="1">IFERROR(IF(VLOOKUP(B19,'ERT Report Paste'!B:L,8,FALSE)&lt;=$O$4,"YES","NO"),"NO")</f>
        <v>NO</v>
      </c>
      <c r="L19" s="7" t="str">
        <f ca="1">IFERROR(IF(AND(VLOOKUP(B19,'ERT Report Paste'!B:L,7,FALSE)&gt;=$N$3,VLOOKUP(B19,'ERT Report Paste'!B:L,7,FALSE)&lt;=$O$3),"YES","NO"),"NO")</f>
        <v>NO</v>
      </c>
    </row>
    <row r="20" spans="1:12" x14ac:dyDescent="0.35">
      <c r="A20" s="5"/>
      <c r="B20" s="12"/>
      <c r="C20" s="13"/>
      <c r="D20" s="5"/>
      <c r="E20" s="13"/>
      <c r="F20" s="7" t="str">
        <f ca="1">IFERROR(IF(AND(VLOOKUP(B20,'ERT Report Paste'!B:K,4,FALSE)&gt;=$N$3,VLOOKUP(B20,'ERT Report Paste'!B:K,4,FALSE)&lt;=$O$3),"YES","NO"),"NO")</f>
        <v>NO</v>
      </c>
      <c r="G20" s="7" t="str">
        <f ca="1">IFERROR(IF(AND(VLOOKUP(B20,'ERT Report Paste'!B:L,6,FALSE)&gt;=$N$3,VLOOKUP(B20,'ERT Report Paste'!B:L,6,FALSE)&lt;=$O$3),"YES","NO"),"NO")</f>
        <v>NO</v>
      </c>
      <c r="H20" s="7" t="str">
        <f ca="1">IFERROR(IF(AND(VLOOKUP(B20,'ERT Report Paste'!B:L,5,FALSE)&gt;=$N$2,VLOOKUP(B20,'ERT Report Paste'!B:L,5,FALSE)&lt;=$O$2),"YES","NO"),"NO")</f>
        <v>NO</v>
      </c>
      <c r="I20" s="7" t="str">
        <f ca="1">IFERROR(IF(AND(VLOOKUP(B20,'ERT Report Paste'!B:L,10,FALSE)&gt;=$N$4,VLOOKUP(B20,'ERT Report Paste'!B:L,10,FALSE)&lt;=$O$4),"YES","NO"),"NO")</f>
        <v>NO</v>
      </c>
      <c r="J20" s="7" t="str">
        <f ca="1">IFERROR(IF(AND(VLOOKUP(B20,'ERT Report Paste'!B:L,9,FALSE)&gt;=$N$4,VLOOKUP(B20,'ERT Report Paste'!B:L,9,FALSE)&lt;=$O$4),"YES","NO"),"NO")</f>
        <v>NO</v>
      </c>
      <c r="K20" s="7" t="str">
        <f ca="1">IFERROR(IF(VLOOKUP(B20,'ERT Report Paste'!B:L,8,FALSE)&lt;=$O$4,"YES","NO"),"NO")</f>
        <v>NO</v>
      </c>
      <c r="L20" s="7" t="str">
        <f ca="1">IFERROR(IF(AND(VLOOKUP(B20,'ERT Report Paste'!B:L,7,FALSE)&gt;=$N$3,VLOOKUP(B20,'ERT Report Paste'!B:L,7,FALSE)&lt;=$O$3),"YES","NO"),"NO")</f>
        <v>NO</v>
      </c>
    </row>
    <row r="21" spans="1:12" x14ac:dyDescent="0.35">
      <c r="A21" s="5"/>
      <c r="B21" s="12"/>
      <c r="C21" s="13"/>
      <c r="D21" s="5"/>
      <c r="E21" s="13"/>
      <c r="F21" s="7" t="str">
        <f ca="1">IFERROR(IF(AND(VLOOKUP(B21,'ERT Report Paste'!B:K,4,FALSE)&gt;=$N$3,VLOOKUP(B21,'ERT Report Paste'!B:K,4,FALSE)&lt;=$O$3),"YES","NO"),"NO")</f>
        <v>NO</v>
      </c>
      <c r="G21" s="7" t="str">
        <f ca="1">IFERROR(IF(AND(VLOOKUP(B21,'ERT Report Paste'!B:L,6,FALSE)&gt;=$N$3,VLOOKUP(B21,'ERT Report Paste'!B:L,6,FALSE)&lt;=$O$3),"YES","NO"),"NO")</f>
        <v>NO</v>
      </c>
      <c r="H21" s="7" t="str">
        <f ca="1">IFERROR(IF(AND(VLOOKUP(B21,'ERT Report Paste'!B:L,5,FALSE)&gt;=$N$2,VLOOKUP(B21,'ERT Report Paste'!B:L,5,FALSE)&lt;=$O$2),"YES","NO"),"NO")</f>
        <v>NO</v>
      </c>
      <c r="I21" s="7" t="str">
        <f ca="1">IFERROR(IF(AND(VLOOKUP(B21,'ERT Report Paste'!B:L,10,FALSE)&gt;=$N$4,VLOOKUP(B21,'ERT Report Paste'!B:L,10,FALSE)&lt;=$O$4),"YES","NO"),"NO")</f>
        <v>NO</v>
      </c>
      <c r="J21" s="7" t="str">
        <f ca="1">IFERROR(IF(AND(VLOOKUP(B21,'ERT Report Paste'!B:L,9,FALSE)&gt;=$N$4,VLOOKUP(B21,'ERT Report Paste'!B:L,9,FALSE)&lt;=$O$4),"YES","NO"),"NO")</f>
        <v>NO</v>
      </c>
      <c r="K21" s="7" t="str">
        <f ca="1">IFERROR(IF(VLOOKUP(B21,'ERT Report Paste'!B:L,8,FALSE)&lt;=$O$4,"YES","NO"),"NO")</f>
        <v>NO</v>
      </c>
      <c r="L21" s="7" t="str">
        <f ca="1">IFERROR(IF(AND(VLOOKUP(B21,'ERT Report Paste'!B:L,7,FALSE)&gt;=$N$3,VLOOKUP(B21,'ERT Report Paste'!B:L,7,FALSE)&lt;=$O$3),"YES","NO"),"NO")</f>
        <v>NO</v>
      </c>
    </row>
    <row r="22" spans="1:12" x14ac:dyDescent="0.35">
      <c r="A22" s="5"/>
      <c r="B22" s="12"/>
      <c r="C22" s="13"/>
      <c r="D22" s="5"/>
      <c r="E22" s="13"/>
      <c r="F22" s="7" t="str">
        <f ca="1">IFERROR(IF(AND(VLOOKUP(B22,'ERT Report Paste'!B:K,4,FALSE)&gt;=$N$3,VLOOKUP(B22,'ERT Report Paste'!B:K,4,FALSE)&lt;=$O$3),"YES","NO"),"NO")</f>
        <v>NO</v>
      </c>
      <c r="G22" s="7" t="str">
        <f ca="1">IFERROR(IF(AND(VLOOKUP(B22,'ERT Report Paste'!B:L,6,FALSE)&gt;=$N$3,VLOOKUP(B22,'ERT Report Paste'!B:L,6,FALSE)&lt;=$O$3),"YES","NO"),"NO")</f>
        <v>NO</v>
      </c>
      <c r="H22" s="7" t="str">
        <f ca="1">IFERROR(IF(AND(VLOOKUP(B22,'ERT Report Paste'!B:L,5,FALSE)&gt;=$N$2,VLOOKUP(B22,'ERT Report Paste'!B:L,5,FALSE)&lt;=$O$2),"YES","NO"),"NO")</f>
        <v>NO</v>
      </c>
      <c r="I22" s="7" t="str">
        <f ca="1">IFERROR(IF(AND(VLOOKUP(B22,'ERT Report Paste'!B:L,10,FALSE)&gt;=$N$4,VLOOKUP(B22,'ERT Report Paste'!B:L,10,FALSE)&lt;=$O$4),"YES","NO"),"NO")</f>
        <v>NO</v>
      </c>
      <c r="J22" s="7" t="str">
        <f ca="1">IFERROR(IF(AND(VLOOKUP(B22,'ERT Report Paste'!B:L,9,FALSE)&gt;=$N$4,VLOOKUP(B22,'ERT Report Paste'!B:L,9,FALSE)&lt;=$O$4),"YES","NO"),"NO")</f>
        <v>NO</v>
      </c>
      <c r="K22" s="7" t="str">
        <f ca="1">IFERROR(IF(VLOOKUP(B22,'ERT Report Paste'!B:L,8,FALSE)&lt;=$O$4,"YES","NO"),"NO")</f>
        <v>NO</v>
      </c>
      <c r="L22" s="7" t="str">
        <f ca="1">IFERROR(IF(AND(VLOOKUP(B22,'ERT Report Paste'!B:L,7,FALSE)&gt;=$N$3,VLOOKUP(B22,'ERT Report Paste'!B:L,7,FALSE)&lt;=$O$3),"YES","NO"),"NO")</f>
        <v>NO</v>
      </c>
    </row>
    <row r="23" spans="1:12" x14ac:dyDescent="0.35">
      <c r="A23" s="5"/>
      <c r="B23" s="12"/>
      <c r="C23" s="13"/>
      <c r="D23" s="5"/>
      <c r="E23" s="13"/>
      <c r="F23" s="7" t="str">
        <f ca="1">IFERROR(IF(AND(VLOOKUP(B23,'ERT Report Paste'!B:K,4,FALSE)&gt;=$N$3,VLOOKUP(B23,'ERT Report Paste'!B:K,4,FALSE)&lt;=$O$3),"YES","NO"),"NO")</f>
        <v>NO</v>
      </c>
      <c r="G23" s="7" t="str">
        <f ca="1">IFERROR(IF(AND(VLOOKUP(B23,'ERT Report Paste'!B:L,6,FALSE)&gt;=$N$3,VLOOKUP(B23,'ERT Report Paste'!B:L,6,FALSE)&lt;=$O$3),"YES","NO"),"NO")</f>
        <v>NO</v>
      </c>
      <c r="H23" s="7" t="str">
        <f ca="1">IFERROR(IF(AND(VLOOKUP(B23,'ERT Report Paste'!B:L,5,FALSE)&gt;=$N$2,VLOOKUP(B23,'ERT Report Paste'!B:L,5,FALSE)&lt;=$O$2),"YES","NO"),"NO")</f>
        <v>NO</v>
      </c>
      <c r="I23" s="7" t="str">
        <f ca="1">IFERROR(IF(AND(VLOOKUP(B23,'ERT Report Paste'!B:L,10,FALSE)&gt;=$N$4,VLOOKUP(B23,'ERT Report Paste'!B:L,10,FALSE)&lt;=$O$4),"YES","NO"),"NO")</f>
        <v>NO</v>
      </c>
      <c r="J23" s="7" t="str">
        <f ca="1">IFERROR(IF(AND(VLOOKUP(B23,'ERT Report Paste'!B:L,9,FALSE)&gt;=$N$4,VLOOKUP(B23,'ERT Report Paste'!B:L,9,FALSE)&lt;=$O$4),"YES","NO"),"NO")</f>
        <v>NO</v>
      </c>
      <c r="K23" s="7" t="str">
        <f ca="1">IFERROR(IF(VLOOKUP(B23,'ERT Report Paste'!B:L,8,FALSE)&lt;=$O$4,"YES","NO"),"NO")</f>
        <v>NO</v>
      </c>
      <c r="L23" s="7" t="str">
        <f ca="1">IFERROR(IF(AND(VLOOKUP(B23,'ERT Report Paste'!B:L,7,FALSE)&gt;=$N$3,VLOOKUP(B23,'ERT Report Paste'!B:L,7,FALSE)&lt;=$O$3),"YES","NO"),"NO")</f>
        <v>NO</v>
      </c>
    </row>
    <row r="24" spans="1:12" x14ac:dyDescent="0.35">
      <c r="A24" s="5"/>
      <c r="B24" s="22"/>
      <c r="C24" s="6"/>
      <c r="D24" s="5"/>
      <c r="E24" s="6"/>
      <c r="F24" s="7" t="str">
        <f ca="1">IFERROR(IF(AND(VLOOKUP(B24,'ERT Report Paste'!B:K,4,FALSE)&gt;=$N$3,VLOOKUP(B24,'ERT Report Paste'!B:K,4,FALSE)&lt;=$O$3),"YES","NO"),"NO")</f>
        <v>NO</v>
      </c>
      <c r="G24" s="7" t="str">
        <f ca="1">IFERROR(IF(AND(VLOOKUP(B24,'ERT Report Paste'!B:L,6,FALSE)&gt;=$N$3,VLOOKUP(B24,'ERT Report Paste'!B:L,6,FALSE)&lt;=$O$3),"YES","NO"),"NO")</f>
        <v>NO</v>
      </c>
      <c r="H24" s="7" t="str">
        <f ca="1">IFERROR(IF(AND(VLOOKUP(B24,'ERT Report Paste'!B:L,5,FALSE)&gt;=$N$2,VLOOKUP(B24,'ERT Report Paste'!B:L,5,FALSE)&lt;=$O$2),"YES","NO"),"NO")</f>
        <v>NO</v>
      </c>
      <c r="I24" s="7" t="str">
        <f ca="1">IFERROR(IF(AND(VLOOKUP(B24,'ERT Report Paste'!B:L,10,FALSE)&gt;=$N$4,VLOOKUP(B24,'ERT Report Paste'!B:L,10,FALSE)&lt;=$O$4),"YES","NO"),"NO")</f>
        <v>NO</v>
      </c>
      <c r="J24" s="7" t="str">
        <f ca="1">IFERROR(IF(AND(VLOOKUP(B24,'ERT Report Paste'!B:L,9,FALSE)&gt;=$N$4,VLOOKUP(B24,'ERT Report Paste'!B:L,9,FALSE)&lt;=$O$4),"YES","NO"),"NO")</f>
        <v>NO</v>
      </c>
      <c r="K24" s="7" t="str">
        <f ca="1">IFERROR(IF(VLOOKUP(B24,'ERT Report Paste'!B:L,8,FALSE)&lt;=$O$4,"YES","NO"),"NO")</f>
        <v>NO</v>
      </c>
      <c r="L24" s="7" t="str">
        <f ca="1">IFERROR(IF(AND(VLOOKUP(B24,'ERT Report Paste'!B:L,7,FALSE)&gt;=$N$3,VLOOKUP(B24,'ERT Report Paste'!B:L,7,FALSE)&lt;=$O$3),"YES","NO"),"NO")</f>
        <v>NO</v>
      </c>
    </row>
    <row r="25" spans="1:12" x14ac:dyDescent="0.35">
      <c r="A25" s="5"/>
      <c r="B25" s="22"/>
      <c r="C25" s="6"/>
      <c r="D25" s="5"/>
      <c r="E25" s="6"/>
      <c r="F25" s="7" t="str">
        <f ca="1">IFERROR(IF(AND(VLOOKUP(B25,'ERT Report Paste'!B:K,4,FALSE)&gt;=$N$3,VLOOKUP(B25,'ERT Report Paste'!B:K,4,FALSE)&lt;=$O$3),"YES","NO"),"NO")</f>
        <v>NO</v>
      </c>
      <c r="G25" s="7" t="str">
        <f ca="1">IFERROR(IF(AND(VLOOKUP(B25,'ERT Report Paste'!B:L,6,FALSE)&gt;=$N$3,VLOOKUP(B25,'ERT Report Paste'!B:L,6,FALSE)&lt;=$O$3),"YES","NO"),"NO")</f>
        <v>NO</v>
      </c>
      <c r="H25" s="7" t="str">
        <f ca="1">IFERROR(IF(AND(VLOOKUP(B25,'ERT Report Paste'!B:L,5,FALSE)&gt;=$N$2,VLOOKUP(B25,'ERT Report Paste'!B:L,5,FALSE)&lt;=$O$2),"YES","NO"),"NO")</f>
        <v>NO</v>
      </c>
      <c r="I25" s="7" t="str">
        <f ca="1">IFERROR(IF(AND(VLOOKUP(B25,'ERT Report Paste'!B:L,10,FALSE)&gt;=$N$4,VLOOKUP(B25,'ERT Report Paste'!B:L,10,FALSE)&lt;=$O$4),"YES","NO"),"NO")</f>
        <v>NO</v>
      </c>
      <c r="J25" s="7" t="str">
        <f ca="1">IFERROR(IF(AND(VLOOKUP(B25,'ERT Report Paste'!B:L,9,FALSE)&gt;=$N$4,VLOOKUP(B25,'ERT Report Paste'!B:L,9,FALSE)&lt;=$O$4),"YES","NO"),"NO")</f>
        <v>NO</v>
      </c>
      <c r="K25" s="7" t="str">
        <f ca="1">IFERROR(IF(VLOOKUP(B25,'ERT Report Paste'!B:L,8,FALSE)&lt;=$O$4,"YES","NO"),"NO")</f>
        <v>NO</v>
      </c>
      <c r="L25" s="7" t="str">
        <f ca="1">IFERROR(IF(AND(VLOOKUP(B25,'ERT Report Paste'!B:L,7,FALSE)&gt;=$N$3,VLOOKUP(B25,'ERT Report Paste'!B:L,7,FALSE)&lt;=$O$3),"YES","NO"),"NO")</f>
        <v>NO</v>
      </c>
    </row>
    <row r="26" spans="1:12" x14ac:dyDescent="0.35">
      <c r="A26" s="5"/>
      <c r="B26" s="22"/>
      <c r="C26" s="6"/>
      <c r="D26" s="5"/>
      <c r="E26" s="6"/>
      <c r="F26" s="7" t="str">
        <f ca="1">IFERROR(IF(AND(VLOOKUP(B26,'ERT Report Paste'!B:K,4,FALSE)&gt;=$N$3,VLOOKUP(B26,'ERT Report Paste'!B:K,4,FALSE)&lt;=$O$3),"YES","NO"),"NO")</f>
        <v>NO</v>
      </c>
      <c r="G26" s="7" t="str">
        <f ca="1">IFERROR(IF(AND(VLOOKUP(B26,'ERT Report Paste'!B:L,6,FALSE)&gt;=$N$3,VLOOKUP(B26,'ERT Report Paste'!B:L,6,FALSE)&lt;=$O$3),"YES","NO"),"NO")</f>
        <v>NO</v>
      </c>
      <c r="H26" s="7" t="str">
        <f ca="1">IFERROR(IF(AND(VLOOKUP(B26,'ERT Report Paste'!B:L,5,FALSE)&gt;=$N$2,VLOOKUP(B26,'ERT Report Paste'!B:L,5,FALSE)&lt;=$O$2),"YES","NO"),"NO")</f>
        <v>NO</v>
      </c>
      <c r="I26" s="7" t="str">
        <f ca="1">IFERROR(IF(AND(VLOOKUP(B26,'ERT Report Paste'!B:L,10,FALSE)&gt;=$N$4,VLOOKUP(B26,'ERT Report Paste'!B:L,10,FALSE)&lt;=$O$4),"YES","NO"),"NO")</f>
        <v>NO</v>
      </c>
      <c r="J26" s="7" t="str">
        <f ca="1">IFERROR(IF(AND(VLOOKUP(B26,'ERT Report Paste'!B:L,9,FALSE)&gt;=$N$4,VLOOKUP(B26,'ERT Report Paste'!B:L,9,FALSE)&lt;=$O$4),"YES","NO"),"NO")</f>
        <v>NO</v>
      </c>
      <c r="K26" s="7" t="str">
        <f ca="1">IFERROR(IF(VLOOKUP(B26,'ERT Report Paste'!B:L,8,FALSE)&lt;=$O$4,"YES","NO"),"NO")</f>
        <v>NO</v>
      </c>
      <c r="L26" s="7" t="str">
        <f ca="1">IFERROR(IF(AND(VLOOKUP(B26,'ERT Report Paste'!B:L,7,FALSE)&gt;=$N$3,VLOOKUP(B26,'ERT Report Paste'!B:L,7,FALSE)&lt;=$O$3),"YES","NO"),"NO")</f>
        <v>NO</v>
      </c>
    </row>
    <row r="27" spans="1:12" x14ac:dyDescent="0.35">
      <c r="A27" s="5"/>
      <c r="B27" s="12"/>
      <c r="C27" s="13"/>
      <c r="D27" s="5"/>
      <c r="E27" s="13"/>
      <c r="F27" s="7" t="str">
        <f ca="1">IFERROR(IF(AND(VLOOKUP(B27,'ERT Report Paste'!B:K,4,FALSE)&gt;=$N$3,VLOOKUP(B27,'ERT Report Paste'!B:K,4,FALSE)&lt;=$O$3),"YES","NO"),"NO")</f>
        <v>NO</v>
      </c>
      <c r="G27" s="7" t="str">
        <f ca="1">IFERROR(IF(AND(VLOOKUP(B27,'ERT Report Paste'!B:L,6,FALSE)&gt;=$N$3,VLOOKUP(B27,'ERT Report Paste'!B:L,6,FALSE)&lt;=$O$3),"YES","NO"),"NO")</f>
        <v>NO</v>
      </c>
      <c r="H27" s="7" t="str">
        <f ca="1">IFERROR(IF(AND(VLOOKUP(B27,'ERT Report Paste'!B:L,5,FALSE)&gt;=$N$2,VLOOKUP(B27,'ERT Report Paste'!B:L,5,FALSE)&lt;=$O$2),"YES","NO"),"NO")</f>
        <v>NO</v>
      </c>
      <c r="I27" s="7" t="str">
        <f ca="1">IFERROR(IF(AND(VLOOKUP(B27,'ERT Report Paste'!B:L,10,FALSE)&gt;=$N$4,VLOOKUP(B27,'ERT Report Paste'!B:L,10,FALSE)&lt;=$O$4),"YES","NO"),"NO")</f>
        <v>NO</v>
      </c>
      <c r="J27" s="7" t="str">
        <f ca="1">IFERROR(IF(AND(VLOOKUP(B27,'ERT Report Paste'!B:L,9,FALSE)&gt;=$N$4,VLOOKUP(B27,'ERT Report Paste'!B:L,9,FALSE)&lt;=$O$4),"YES","NO"),"NO")</f>
        <v>NO</v>
      </c>
      <c r="K27" s="7" t="str">
        <f ca="1">IFERROR(IF(VLOOKUP(B27,'ERT Report Paste'!B:L,8,FALSE)&lt;=$O$4,"YES","NO"),"NO")</f>
        <v>NO</v>
      </c>
      <c r="L27" s="7" t="str">
        <f ca="1">IFERROR(IF(AND(VLOOKUP(B27,'ERT Report Paste'!B:L,7,FALSE)&gt;=$N$3,VLOOKUP(B27,'ERT Report Paste'!B:L,7,FALSE)&lt;=$O$3),"YES","NO"),"NO")</f>
        <v>NO</v>
      </c>
    </row>
    <row r="28" spans="1:12" x14ac:dyDescent="0.35">
      <c r="A28" s="5"/>
      <c r="B28" s="12"/>
      <c r="C28" s="13"/>
      <c r="D28" s="5"/>
      <c r="E28" s="13"/>
      <c r="F28" s="7" t="str">
        <f ca="1">IFERROR(IF(AND(VLOOKUP(B28,'ERT Report Paste'!B:K,4,FALSE)&gt;=$N$3,VLOOKUP(B28,'ERT Report Paste'!B:K,4,FALSE)&lt;=$O$3),"YES","NO"),"NO")</f>
        <v>NO</v>
      </c>
      <c r="G28" s="7" t="str">
        <f ca="1">IFERROR(IF(AND(VLOOKUP(B28,'ERT Report Paste'!B:L,6,FALSE)&gt;=$N$3,VLOOKUP(B28,'ERT Report Paste'!B:L,6,FALSE)&lt;=$O$3),"YES","NO"),"NO")</f>
        <v>NO</v>
      </c>
      <c r="H28" s="7" t="str">
        <f ca="1">IFERROR(IF(AND(VLOOKUP(B28,'ERT Report Paste'!B:L,5,FALSE)&gt;=$N$2,VLOOKUP(B28,'ERT Report Paste'!B:L,5,FALSE)&lt;=$O$2),"YES","NO"),"NO")</f>
        <v>NO</v>
      </c>
      <c r="I28" s="7" t="str">
        <f ca="1">IFERROR(IF(AND(VLOOKUP(B28,'ERT Report Paste'!B:L,10,FALSE)&gt;=$N$4,VLOOKUP(B28,'ERT Report Paste'!B:L,10,FALSE)&lt;=$O$4),"YES","NO"),"NO")</f>
        <v>NO</v>
      </c>
      <c r="J28" s="7" t="str">
        <f ca="1">IFERROR(IF(AND(VLOOKUP(B28,'ERT Report Paste'!B:L,9,FALSE)&gt;=$N$4,VLOOKUP(B28,'ERT Report Paste'!B:L,9,FALSE)&lt;=$O$4),"YES","NO"),"NO")</f>
        <v>NO</v>
      </c>
      <c r="K28" s="7" t="str">
        <f ca="1">IFERROR(IF(VLOOKUP(B28,'ERT Report Paste'!B:L,8,FALSE)&lt;=$O$4,"YES","NO"),"NO")</f>
        <v>NO</v>
      </c>
      <c r="L28" s="7" t="str">
        <f ca="1">IFERROR(IF(AND(VLOOKUP(B28,'ERT Report Paste'!B:L,7,FALSE)&gt;=$N$3,VLOOKUP(B28,'ERT Report Paste'!B:L,7,FALSE)&lt;=$O$3),"YES","NO"),"NO")</f>
        <v>NO</v>
      </c>
    </row>
    <row r="29" spans="1:12" x14ac:dyDescent="0.35">
      <c r="A29" s="5"/>
      <c r="B29" s="14"/>
      <c r="C29" s="13"/>
      <c r="D29" s="5"/>
      <c r="E29" s="13"/>
      <c r="F29" s="7" t="str">
        <f ca="1">IFERROR(IF(AND(VLOOKUP(B29,'ERT Report Paste'!B:K,4,FALSE)&gt;=$N$3,VLOOKUP(B29,'ERT Report Paste'!B:K,4,FALSE)&lt;=$O$3),"YES","NO"),"NO")</f>
        <v>NO</v>
      </c>
      <c r="G29" s="7" t="str">
        <f ca="1">IFERROR(IF(AND(VLOOKUP(B29,'ERT Report Paste'!B:L,6,FALSE)&gt;=$N$3,VLOOKUP(B29,'ERT Report Paste'!B:L,6,FALSE)&lt;=$O$3),"YES","NO"),"NO")</f>
        <v>NO</v>
      </c>
      <c r="H29" s="7" t="str">
        <f ca="1">IFERROR(IF(AND(VLOOKUP(B29,'ERT Report Paste'!B:L,5,FALSE)&gt;=$N$2,VLOOKUP(B29,'ERT Report Paste'!B:L,5,FALSE)&lt;=$O$2),"YES","NO"),"NO")</f>
        <v>NO</v>
      </c>
      <c r="I29" s="7" t="str">
        <f ca="1">IFERROR(IF(AND(VLOOKUP(B29,'ERT Report Paste'!B:L,10,FALSE)&gt;=$N$4,VLOOKUP(B29,'ERT Report Paste'!B:L,10,FALSE)&lt;=$O$4),"YES","NO"),"NO")</f>
        <v>NO</v>
      </c>
      <c r="J29" s="7" t="str">
        <f ca="1">IFERROR(IF(AND(VLOOKUP(B29,'ERT Report Paste'!B:L,9,FALSE)&gt;=$N$4,VLOOKUP(B29,'ERT Report Paste'!B:L,9,FALSE)&lt;=$O$4),"YES","NO"),"NO")</f>
        <v>NO</v>
      </c>
      <c r="K29" s="7" t="str">
        <f ca="1">IFERROR(IF(VLOOKUP(B29,'ERT Report Paste'!B:L,8,FALSE)&lt;=$O$4,"YES","NO"),"NO")</f>
        <v>NO</v>
      </c>
      <c r="L29" s="7" t="str">
        <f ca="1">IFERROR(IF(AND(VLOOKUP(B29,'ERT Report Paste'!B:L,7,FALSE)&gt;=$N$3,VLOOKUP(B29,'ERT Report Paste'!B:L,7,FALSE)&lt;=$O$3),"YES","NO"),"NO")</f>
        <v>NO</v>
      </c>
    </row>
    <row r="30" spans="1:12" x14ac:dyDescent="0.35">
      <c r="A30" s="5"/>
      <c r="B30" s="23"/>
      <c r="C30" s="6"/>
      <c r="D30" s="5"/>
      <c r="E30" s="6"/>
      <c r="F30" s="7" t="str">
        <f ca="1">IFERROR(IF(AND(VLOOKUP(B30,'ERT Report Paste'!B:K,4,FALSE)&gt;=$N$3,VLOOKUP(B30,'ERT Report Paste'!B:K,4,FALSE)&lt;=$O$3),"YES","NO"),"NO")</f>
        <v>NO</v>
      </c>
      <c r="G30" s="7" t="str">
        <f ca="1">IFERROR(IF(AND(VLOOKUP(B30,'ERT Report Paste'!B:L,6,FALSE)&gt;=$N$3,VLOOKUP(B30,'ERT Report Paste'!B:L,6,FALSE)&lt;=$O$3),"YES","NO"),"NO")</f>
        <v>NO</v>
      </c>
      <c r="H30" s="7" t="str">
        <f ca="1">IFERROR(IF(AND(VLOOKUP(B30,'ERT Report Paste'!B:L,5,FALSE)&gt;=$N$2,VLOOKUP(B30,'ERT Report Paste'!B:L,5,FALSE)&lt;=$O$2),"YES","NO"),"NO")</f>
        <v>NO</v>
      </c>
      <c r="I30" s="7" t="str">
        <f ca="1">IFERROR(IF(AND(VLOOKUP(B30,'ERT Report Paste'!B:L,10,FALSE)&gt;=$N$4,VLOOKUP(B30,'ERT Report Paste'!B:L,10,FALSE)&lt;=$O$4),"YES","NO"),"NO")</f>
        <v>NO</v>
      </c>
      <c r="J30" s="7" t="str">
        <f ca="1">IFERROR(IF(AND(VLOOKUP(B30,'ERT Report Paste'!B:L,9,FALSE)&gt;=$N$4,VLOOKUP(B30,'ERT Report Paste'!B:L,9,FALSE)&lt;=$O$4),"YES","NO"),"NO")</f>
        <v>NO</v>
      </c>
      <c r="K30" s="7" t="str">
        <f ca="1">IFERROR(IF(VLOOKUP(B30,'ERT Report Paste'!B:L,8,FALSE)&lt;=$O$4,"YES","NO"),"NO")</f>
        <v>NO</v>
      </c>
      <c r="L30" s="7" t="str">
        <f ca="1">IFERROR(IF(AND(VLOOKUP(B30,'ERT Report Paste'!B:L,7,FALSE)&gt;=$N$3,VLOOKUP(B30,'ERT Report Paste'!B:L,7,FALSE)&lt;=$O$3),"YES","NO"),"NO")</f>
        <v>NO</v>
      </c>
    </row>
    <row r="31" spans="1:12" x14ac:dyDescent="0.35">
      <c r="A31" s="5"/>
      <c r="B31" s="15"/>
      <c r="C31" s="13"/>
      <c r="D31" s="5"/>
      <c r="E31" s="13"/>
      <c r="F31" s="7" t="str">
        <f ca="1">IFERROR(IF(AND(VLOOKUP(B31,'ERT Report Paste'!B:K,4,FALSE)&gt;=$N$3,VLOOKUP(B31,'ERT Report Paste'!B:K,4,FALSE)&lt;=$O$3),"YES","NO"),"NO")</f>
        <v>NO</v>
      </c>
      <c r="G31" s="7" t="str">
        <f ca="1">IFERROR(IF(AND(VLOOKUP(B31,'ERT Report Paste'!B:L,6,FALSE)&gt;=$N$3,VLOOKUP(B31,'ERT Report Paste'!B:L,6,FALSE)&lt;=$O$3),"YES","NO"),"NO")</f>
        <v>NO</v>
      </c>
      <c r="H31" s="7" t="str">
        <f ca="1">IFERROR(IF(AND(VLOOKUP(B31,'ERT Report Paste'!B:L,5,FALSE)&gt;=$N$2,VLOOKUP(B31,'ERT Report Paste'!B:L,5,FALSE)&lt;=$O$2),"YES","NO"),"NO")</f>
        <v>NO</v>
      </c>
      <c r="I31" s="7" t="str">
        <f ca="1">IFERROR(IF(AND(VLOOKUP(B31,'ERT Report Paste'!B:L,10,FALSE)&gt;=$N$4,VLOOKUP(B31,'ERT Report Paste'!B:L,10,FALSE)&lt;=$O$4),"YES","NO"),"NO")</f>
        <v>NO</v>
      </c>
      <c r="J31" s="7" t="str">
        <f ca="1">IFERROR(IF(AND(VLOOKUP(B31,'ERT Report Paste'!B:L,9,FALSE)&gt;=$N$4,VLOOKUP(B31,'ERT Report Paste'!B:L,9,FALSE)&lt;=$O$4),"YES","NO"),"NO")</f>
        <v>NO</v>
      </c>
      <c r="K31" s="7" t="str">
        <f ca="1">IFERROR(IF(VLOOKUP(B31,'ERT Report Paste'!B:L,8,FALSE)&lt;=$O$4,"YES","NO"),"NO")</f>
        <v>NO</v>
      </c>
      <c r="L31" s="7" t="str">
        <f ca="1">IFERROR(IF(AND(VLOOKUP(B31,'ERT Report Paste'!B:L,7,FALSE)&gt;=$N$3,VLOOKUP(B31,'ERT Report Paste'!B:L,7,FALSE)&lt;=$O$3),"YES","NO"),"NO")</f>
        <v>NO</v>
      </c>
    </row>
    <row r="32" spans="1:12" x14ac:dyDescent="0.35">
      <c r="A32" s="5"/>
      <c r="B32" s="22"/>
      <c r="C32" s="6"/>
      <c r="D32" s="5"/>
      <c r="E32" s="6"/>
      <c r="F32" s="7" t="str">
        <f ca="1">IFERROR(IF(AND(VLOOKUP(B32,'ERT Report Paste'!B:K,4,FALSE)&gt;=$N$3,VLOOKUP(B32,'ERT Report Paste'!B:K,4,FALSE)&lt;=$O$3),"YES","NO"),"NO")</f>
        <v>NO</v>
      </c>
      <c r="G32" s="7" t="str">
        <f ca="1">IFERROR(IF(AND(VLOOKUP(B32,'ERT Report Paste'!B:L,6,FALSE)&gt;=$N$3,VLOOKUP(B32,'ERT Report Paste'!B:L,6,FALSE)&lt;=$O$3),"YES","NO"),"NO")</f>
        <v>NO</v>
      </c>
      <c r="H32" s="7" t="str">
        <f ca="1">IFERROR(IF(AND(VLOOKUP(B32,'ERT Report Paste'!B:L,5,FALSE)&gt;=$N$2,VLOOKUP(B32,'ERT Report Paste'!B:L,5,FALSE)&lt;=$O$2),"YES","NO"),"NO")</f>
        <v>NO</v>
      </c>
      <c r="I32" s="7" t="str">
        <f ca="1">IFERROR(IF(AND(VLOOKUP(B32,'ERT Report Paste'!B:L,10,FALSE)&gt;=$N$4,VLOOKUP(B32,'ERT Report Paste'!B:L,10,FALSE)&lt;=$O$4),"YES","NO"),"NO")</f>
        <v>NO</v>
      </c>
      <c r="J32" s="7" t="str">
        <f ca="1">IFERROR(IF(AND(VLOOKUP(B32,'ERT Report Paste'!B:L,9,FALSE)&gt;=$N$4,VLOOKUP(B32,'ERT Report Paste'!B:L,9,FALSE)&lt;=$O$4),"YES","NO"),"NO")</f>
        <v>NO</v>
      </c>
      <c r="K32" s="7" t="str">
        <f ca="1">IFERROR(IF(VLOOKUP(B32,'ERT Report Paste'!B:L,8,FALSE)&lt;=$O$4,"YES","NO"),"NO")</f>
        <v>NO</v>
      </c>
      <c r="L32" s="7" t="str">
        <f ca="1">IFERROR(IF(AND(VLOOKUP(B32,'ERT Report Paste'!B:L,7,FALSE)&gt;=$N$3,VLOOKUP(B32,'ERT Report Paste'!B:L,7,FALSE)&lt;=$O$3),"YES","NO"),"NO")</f>
        <v>NO</v>
      </c>
    </row>
    <row r="33" spans="1:12" x14ac:dyDescent="0.35">
      <c r="A33" s="5"/>
      <c r="B33" s="22"/>
      <c r="C33" s="6"/>
      <c r="D33" s="5"/>
      <c r="E33" s="6"/>
      <c r="F33" s="7" t="str">
        <f ca="1">IFERROR(IF(AND(VLOOKUP(B33,'ERT Report Paste'!B:K,4,FALSE)&gt;=$N$3,VLOOKUP(B33,'ERT Report Paste'!B:K,4,FALSE)&lt;=$O$3),"YES","NO"),"NO")</f>
        <v>NO</v>
      </c>
      <c r="G33" s="7" t="str">
        <f ca="1">IFERROR(IF(AND(VLOOKUP(B33,'ERT Report Paste'!B:L,6,FALSE)&gt;=$N$3,VLOOKUP(B33,'ERT Report Paste'!B:L,6,FALSE)&lt;=$O$3),"YES","NO"),"NO")</f>
        <v>NO</v>
      </c>
      <c r="H33" s="7" t="str">
        <f ca="1">IFERROR(IF(AND(VLOOKUP(B33,'ERT Report Paste'!B:L,5,FALSE)&gt;=$N$2,VLOOKUP(B33,'ERT Report Paste'!B:L,5,FALSE)&lt;=$O$2),"YES","NO"),"NO")</f>
        <v>NO</v>
      </c>
      <c r="I33" s="7" t="str">
        <f ca="1">IFERROR(IF(AND(VLOOKUP(B33,'ERT Report Paste'!B:L,10,FALSE)&gt;=$N$4,VLOOKUP(B33,'ERT Report Paste'!B:L,10,FALSE)&lt;=$O$4),"YES","NO"),"NO")</f>
        <v>NO</v>
      </c>
      <c r="J33" s="7" t="str">
        <f ca="1">IFERROR(IF(AND(VLOOKUP(B33,'ERT Report Paste'!B:L,9,FALSE)&gt;=$N$4,VLOOKUP(B33,'ERT Report Paste'!B:L,9,FALSE)&lt;=$O$4),"YES","NO"),"NO")</f>
        <v>NO</v>
      </c>
      <c r="K33" s="7" t="str">
        <f ca="1">IFERROR(IF(VLOOKUP(B33,'ERT Report Paste'!B:L,8,FALSE)&lt;=$O$4,"YES","NO"),"NO")</f>
        <v>NO</v>
      </c>
      <c r="L33" s="7" t="str">
        <f ca="1">IFERROR(IF(AND(VLOOKUP(B33,'ERT Report Paste'!B:L,7,FALSE)&gt;=$N$3,VLOOKUP(B33,'ERT Report Paste'!B:L,7,FALSE)&lt;=$O$3),"YES","NO"),"NO")</f>
        <v>NO</v>
      </c>
    </row>
    <row r="34" spans="1:12" x14ac:dyDescent="0.35">
      <c r="A34" s="5"/>
      <c r="B34" s="12"/>
      <c r="C34" s="13"/>
      <c r="D34" s="5"/>
      <c r="E34" s="13"/>
      <c r="F34" s="7" t="str">
        <f ca="1">IFERROR(IF(AND(VLOOKUP(B34,'ERT Report Paste'!B:K,4,FALSE)&gt;=$N$3,VLOOKUP(B34,'ERT Report Paste'!B:K,4,FALSE)&lt;=$O$3),"YES","NO"),"NO")</f>
        <v>NO</v>
      </c>
      <c r="G34" s="7" t="str">
        <f ca="1">IFERROR(IF(AND(VLOOKUP(B34,'ERT Report Paste'!B:L,6,FALSE)&gt;=$N$3,VLOOKUP(B34,'ERT Report Paste'!B:L,6,FALSE)&lt;=$O$3),"YES","NO"),"NO")</f>
        <v>NO</v>
      </c>
      <c r="H34" s="7" t="str">
        <f ca="1">IFERROR(IF(AND(VLOOKUP(B34,'ERT Report Paste'!B:L,5,FALSE)&gt;=$N$2,VLOOKUP(B34,'ERT Report Paste'!B:L,5,FALSE)&lt;=$O$2),"YES","NO"),"NO")</f>
        <v>NO</v>
      </c>
      <c r="I34" s="7" t="str">
        <f ca="1">IFERROR(IF(AND(VLOOKUP(B34,'ERT Report Paste'!B:L,10,FALSE)&gt;=$N$4,VLOOKUP(B34,'ERT Report Paste'!B:L,10,FALSE)&lt;=$O$4),"YES","NO"),"NO")</f>
        <v>NO</v>
      </c>
      <c r="J34" s="7" t="str">
        <f ca="1">IFERROR(IF(AND(VLOOKUP(B34,'ERT Report Paste'!B:L,9,FALSE)&gt;=$N$4,VLOOKUP(B34,'ERT Report Paste'!B:L,9,FALSE)&lt;=$O$4),"YES","NO"),"NO")</f>
        <v>NO</v>
      </c>
      <c r="K34" s="7" t="str">
        <f ca="1">IFERROR(IF(VLOOKUP(B34,'ERT Report Paste'!B:L,8,FALSE)&lt;=$O$4,"YES","NO"),"NO")</f>
        <v>NO</v>
      </c>
      <c r="L34" s="7" t="str">
        <f ca="1">IFERROR(IF(AND(VLOOKUP(B34,'ERT Report Paste'!B:L,7,FALSE)&gt;=$N$3,VLOOKUP(B34,'ERT Report Paste'!B:L,7,FALSE)&lt;=$O$3),"YES","NO"),"NO")</f>
        <v>NO</v>
      </c>
    </row>
    <row r="35" spans="1:12" x14ac:dyDescent="0.35">
      <c r="A35" s="5"/>
      <c r="B35" s="22"/>
      <c r="C35" s="6"/>
      <c r="D35" s="5"/>
      <c r="E35" s="6"/>
      <c r="F35" s="7" t="str">
        <f ca="1">IFERROR(IF(AND(VLOOKUP(B35,'ERT Report Paste'!B:K,4,FALSE)&gt;=$N$3,VLOOKUP(B35,'ERT Report Paste'!B:K,4,FALSE)&lt;=$O$3),"YES","NO"),"NO")</f>
        <v>NO</v>
      </c>
      <c r="G35" s="7" t="str">
        <f ca="1">IFERROR(IF(AND(VLOOKUP(B35,'ERT Report Paste'!B:L,6,FALSE)&gt;=$N$3,VLOOKUP(B35,'ERT Report Paste'!B:L,6,FALSE)&lt;=$O$3),"YES","NO"),"NO")</f>
        <v>NO</v>
      </c>
      <c r="H35" s="7" t="str">
        <f ca="1">IFERROR(IF(AND(VLOOKUP(B35,'ERT Report Paste'!B:L,5,FALSE)&gt;=$N$2,VLOOKUP(B35,'ERT Report Paste'!B:L,5,FALSE)&lt;=$O$2),"YES","NO"),"NO")</f>
        <v>NO</v>
      </c>
      <c r="I35" s="7" t="str">
        <f ca="1">IFERROR(IF(AND(VLOOKUP(B35,'ERT Report Paste'!B:L,10,FALSE)&gt;=$N$4,VLOOKUP(B35,'ERT Report Paste'!B:L,10,FALSE)&lt;=$O$4),"YES","NO"),"NO")</f>
        <v>NO</v>
      </c>
      <c r="J35" s="7" t="str">
        <f ca="1">IFERROR(IF(AND(VLOOKUP(B35,'ERT Report Paste'!B:L,9,FALSE)&gt;=$N$4,VLOOKUP(B35,'ERT Report Paste'!B:L,9,FALSE)&lt;=$O$4),"YES","NO"),"NO")</f>
        <v>NO</v>
      </c>
      <c r="K35" s="7" t="str">
        <f ca="1">IFERROR(IF(VLOOKUP(B35,'ERT Report Paste'!B:L,8,FALSE)&lt;=$O$4,"YES","NO"),"NO")</f>
        <v>NO</v>
      </c>
      <c r="L35" s="7" t="str">
        <f ca="1">IFERROR(IF(AND(VLOOKUP(B35,'ERT Report Paste'!B:L,7,FALSE)&gt;=$N$3,VLOOKUP(B35,'ERT Report Paste'!B:L,7,FALSE)&lt;=$O$3),"YES","NO"),"NO")</f>
        <v>NO</v>
      </c>
    </row>
    <row r="36" spans="1:12" x14ac:dyDescent="0.35">
      <c r="A36" s="5"/>
      <c r="B36" s="22"/>
      <c r="C36" s="6"/>
      <c r="D36" s="5"/>
      <c r="E36" s="6"/>
      <c r="F36" s="7" t="str">
        <f ca="1">IFERROR(IF(AND(VLOOKUP(B36,'ERT Report Paste'!B:K,4,FALSE)&gt;=$N$3,VLOOKUP(B36,'ERT Report Paste'!B:K,4,FALSE)&lt;=$O$3),"YES","NO"),"NO")</f>
        <v>NO</v>
      </c>
      <c r="G36" s="7" t="str">
        <f ca="1">IFERROR(IF(AND(VLOOKUP(B36,'ERT Report Paste'!B:L,6,FALSE)&gt;=$N$3,VLOOKUP(B36,'ERT Report Paste'!B:L,6,FALSE)&lt;=$O$3),"YES","NO"),"NO")</f>
        <v>NO</v>
      </c>
      <c r="H36" s="7" t="str">
        <f ca="1">IFERROR(IF(AND(VLOOKUP(B36,'ERT Report Paste'!B:L,5,FALSE)&gt;=$N$2,VLOOKUP(B36,'ERT Report Paste'!B:L,5,FALSE)&lt;=$O$2),"YES","NO"),"NO")</f>
        <v>NO</v>
      </c>
      <c r="I36" s="7" t="str">
        <f ca="1">IFERROR(IF(AND(VLOOKUP(B36,'ERT Report Paste'!B:L,10,FALSE)&gt;=$N$4,VLOOKUP(B36,'ERT Report Paste'!B:L,10,FALSE)&lt;=$O$4),"YES","NO"),"NO")</f>
        <v>NO</v>
      </c>
      <c r="J36" s="7" t="str">
        <f ca="1">IFERROR(IF(AND(VLOOKUP(B36,'ERT Report Paste'!B:L,9,FALSE)&gt;=$N$4,VLOOKUP(B36,'ERT Report Paste'!B:L,9,FALSE)&lt;=$O$4),"YES","NO"),"NO")</f>
        <v>NO</v>
      </c>
      <c r="K36" s="7" t="str">
        <f ca="1">IFERROR(IF(VLOOKUP(B36,'ERT Report Paste'!B:L,8,FALSE)&lt;=$O$4,"YES","NO"),"NO")</f>
        <v>NO</v>
      </c>
      <c r="L36" s="7" t="str">
        <f ca="1">IFERROR(IF(AND(VLOOKUP(B36,'ERT Report Paste'!B:L,7,FALSE)&gt;=$N$3,VLOOKUP(B36,'ERT Report Paste'!B:L,7,FALSE)&lt;=$O$3),"YES","NO"),"NO")</f>
        <v>NO</v>
      </c>
    </row>
    <row r="37" spans="1:12" x14ac:dyDescent="0.35">
      <c r="A37" s="5"/>
      <c r="B37" s="22"/>
      <c r="C37" s="6"/>
      <c r="D37" s="5"/>
      <c r="E37" s="6"/>
      <c r="F37" s="7" t="str">
        <f ca="1">IFERROR(IF(AND(VLOOKUP(B37,'ERT Report Paste'!B:K,4,FALSE)&gt;=$N$3,VLOOKUP(B37,'ERT Report Paste'!B:K,4,FALSE)&lt;=$O$3),"YES","NO"),"NO")</f>
        <v>NO</v>
      </c>
      <c r="G37" s="7" t="str">
        <f ca="1">IFERROR(IF(AND(VLOOKUP(B37,'ERT Report Paste'!B:L,6,FALSE)&gt;=$N$3,VLOOKUP(B37,'ERT Report Paste'!B:L,6,FALSE)&lt;=$O$3),"YES","NO"),"NO")</f>
        <v>NO</v>
      </c>
      <c r="H37" s="7" t="str">
        <f ca="1">IFERROR(IF(AND(VLOOKUP(B37,'ERT Report Paste'!B:L,5,FALSE)&gt;=$N$2,VLOOKUP(B37,'ERT Report Paste'!B:L,5,FALSE)&lt;=$O$2),"YES","NO"),"NO")</f>
        <v>NO</v>
      </c>
      <c r="I37" s="7" t="str">
        <f ca="1">IFERROR(IF(AND(VLOOKUP(B37,'ERT Report Paste'!B:L,10,FALSE)&gt;=$N$4,VLOOKUP(B37,'ERT Report Paste'!B:L,10,FALSE)&lt;=$O$4),"YES","NO"),"NO")</f>
        <v>NO</v>
      </c>
      <c r="J37" s="7" t="str">
        <f ca="1">IFERROR(IF(AND(VLOOKUP(B37,'ERT Report Paste'!B:L,9,FALSE)&gt;=$N$4,VLOOKUP(B37,'ERT Report Paste'!B:L,9,FALSE)&lt;=$O$4),"YES","NO"),"NO")</f>
        <v>NO</v>
      </c>
      <c r="K37" s="7" t="str">
        <f ca="1">IFERROR(IF(VLOOKUP(B37,'ERT Report Paste'!B:L,8,FALSE)&lt;=$O$4,"YES","NO"),"NO")</f>
        <v>NO</v>
      </c>
      <c r="L37" s="7" t="str">
        <f ca="1">IFERROR(IF(AND(VLOOKUP(B37,'ERT Report Paste'!B:L,7,FALSE)&gt;=$N$3,VLOOKUP(B37,'ERT Report Paste'!B:L,7,FALSE)&lt;=$O$3),"YES","NO"),"NO")</f>
        <v>NO</v>
      </c>
    </row>
    <row r="38" spans="1:12" x14ac:dyDescent="0.35">
      <c r="A38" s="5"/>
      <c r="B38" s="12"/>
      <c r="C38" s="13"/>
      <c r="D38" s="5"/>
      <c r="E38" s="13"/>
      <c r="F38" s="7" t="str">
        <f ca="1">IFERROR(IF(AND(VLOOKUP(B38,'ERT Report Paste'!B:K,4,FALSE)&gt;=$N$3,VLOOKUP(B38,'ERT Report Paste'!B:K,4,FALSE)&lt;=$O$3),"YES","NO"),"NO")</f>
        <v>NO</v>
      </c>
      <c r="G38" s="7" t="str">
        <f ca="1">IFERROR(IF(AND(VLOOKUP(B38,'ERT Report Paste'!B:L,6,FALSE)&gt;=$N$3,VLOOKUP(B38,'ERT Report Paste'!B:L,6,FALSE)&lt;=$O$3),"YES","NO"),"NO")</f>
        <v>NO</v>
      </c>
      <c r="H38" s="7" t="str">
        <f ca="1">IFERROR(IF(AND(VLOOKUP(B38,'ERT Report Paste'!B:L,5,FALSE)&gt;=$N$2,VLOOKUP(B38,'ERT Report Paste'!B:L,5,FALSE)&lt;=$O$2),"YES","NO"),"NO")</f>
        <v>NO</v>
      </c>
      <c r="I38" s="7" t="str">
        <f ca="1">IFERROR(IF(AND(VLOOKUP(B38,'ERT Report Paste'!B:L,10,FALSE)&gt;=$N$4,VLOOKUP(B38,'ERT Report Paste'!B:L,10,FALSE)&lt;=$O$4),"YES","NO"),"NO")</f>
        <v>NO</v>
      </c>
      <c r="J38" s="7" t="str">
        <f ca="1">IFERROR(IF(AND(VLOOKUP(B38,'ERT Report Paste'!B:L,9,FALSE)&gt;=$N$4,VLOOKUP(B38,'ERT Report Paste'!B:L,9,FALSE)&lt;=$O$4),"YES","NO"),"NO")</f>
        <v>NO</v>
      </c>
      <c r="K38" s="7" t="str">
        <f ca="1">IFERROR(IF(VLOOKUP(B38,'ERT Report Paste'!B:L,8,FALSE)&lt;=$O$4,"YES","NO"),"NO")</f>
        <v>NO</v>
      </c>
      <c r="L38" s="7" t="str">
        <f ca="1">IFERROR(IF(AND(VLOOKUP(B38,'ERT Report Paste'!B:L,7,FALSE)&gt;=$N$3,VLOOKUP(B38,'ERT Report Paste'!B:L,7,FALSE)&lt;=$O$3),"YES","NO"),"NO")</f>
        <v>NO</v>
      </c>
    </row>
    <row r="39" spans="1:12" x14ac:dyDescent="0.35">
      <c r="A39" s="5"/>
      <c r="B39" s="12"/>
      <c r="C39" s="13"/>
      <c r="D39" s="5"/>
      <c r="E39" s="13"/>
      <c r="F39" s="7" t="str">
        <f ca="1">IFERROR(IF(AND(VLOOKUP(B39,'ERT Report Paste'!B:K,4,FALSE)&gt;=$N$3,VLOOKUP(B39,'ERT Report Paste'!B:K,4,FALSE)&lt;=$O$3),"YES","NO"),"NO")</f>
        <v>NO</v>
      </c>
      <c r="G39" s="7" t="str">
        <f ca="1">IFERROR(IF(AND(VLOOKUP(B39,'ERT Report Paste'!B:L,6,FALSE)&gt;=$N$3,VLOOKUP(B39,'ERT Report Paste'!B:L,6,FALSE)&lt;=$O$3),"YES","NO"),"NO")</f>
        <v>NO</v>
      </c>
      <c r="H39" s="7" t="str">
        <f ca="1">IFERROR(IF(AND(VLOOKUP(B39,'ERT Report Paste'!B:L,5,FALSE)&gt;=$N$2,VLOOKUP(B39,'ERT Report Paste'!B:L,5,FALSE)&lt;=$O$2),"YES","NO"),"NO")</f>
        <v>NO</v>
      </c>
      <c r="I39" s="7" t="str">
        <f ca="1">IFERROR(IF(AND(VLOOKUP(B39,'ERT Report Paste'!B:L,10,FALSE)&gt;=$N$4,VLOOKUP(B39,'ERT Report Paste'!B:L,10,FALSE)&lt;=$O$4),"YES","NO"),"NO")</f>
        <v>NO</v>
      </c>
      <c r="J39" s="7" t="str">
        <f ca="1">IFERROR(IF(AND(VLOOKUP(B39,'ERT Report Paste'!B:L,9,FALSE)&gt;=$N$4,VLOOKUP(B39,'ERT Report Paste'!B:L,9,FALSE)&lt;=$O$4),"YES","NO"),"NO")</f>
        <v>NO</v>
      </c>
      <c r="K39" s="7" t="str">
        <f ca="1">IFERROR(IF(VLOOKUP(B39,'ERT Report Paste'!B:L,8,FALSE)&lt;=$O$4,"YES","NO"),"NO")</f>
        <v>NO</v>
      </c>
      <c r="L39" s="7" t="str">
        <f ca="1">IFERROR(IF(AND(VLOOKUP(B39,'ERT Report Paste'!B:L,7,FALSE)&gt;=$N$3,VLOOKUP(B39,'ERT Report Paste'!B:L,7,FALSE)&lt;=$O$3),"YES","NO"),"NO")</f>
        <v>NO</v>
      </c>
    </row>
    <row r="40" spans="1:12" x14ac:dyDescent="0.35">
      <c r="A40" s="5"/>
      <c r="B40" s="22"/>
      <c r="C40" s="6"/>
      <c r="D40" s="5"/>
      <c r="E40" s="6"/>
      <c r="F40" s="7" t="str">
        <f ca="1">IFERROR(IF(AND(VLOOKUP(B40,'ERT Report Paste'!B:K,4,FALSE)&gt;=$N$3,VLOOKUP(B40,'ERT Report Paste'!B:K,4,FALSE)&lt;=$O$3),"YES","NO"),"NO")</f>
        <v>NO</v>
      </c>
      <c r="G40" s="7" t="str">
        <f ca="1">IFERROR(IF(AND(VLOOKUP(B40,'ERT Report Paste'!B:L,6,FALSE)&gt;=$N$3,VLOOKUP(B40,'ERT Report Paste'!B:L,6,FALSE)&lt;=$O$3),"YES","NO"),"NO")</f>
        <v>NO</v>
      </c>
      <c r="H40" s="7" t="str">
        <f ca="1">IFERROR(IF(AND(VLOOKUP(B40,'ERT Report Paste'!B:L,5,FALSE)&gt;=$N$2,VLOOKUP(B40,'ERT Report Paste'!B:L,5,FALSE)&lt;=$O$2),"YES","NO"),"NO")</f>
        <v>NO</v>
      </c>
      <c r="I40" s="7" t="str">
        <f ca="1">IFERROR(IF(AND(VLOOKUP(B40,'ERT Report Paste'!B:L,10,FALSE)&gt;=$N$4,VLOOKUP(B40,'ERT Report Paste'!B:L,10,FALSE)&lt;=$O$4),"YES","NO"),"NO")</f>
        <v>NO</v>
      </c>
      <c r="J40" s="7" t="str">
        <f ca="1">IFERROR(IF(AND(VLOOKUP(B40,'ERT Report Paste'!B:L,9,FALSE)&gt;=$N$4,VLOOKUP(B40,'ERT Report Paste'!B:L,9,FALSE)&lt;=$O$4),"YES","NO"),"NO")</f>
        <v>NO</v>
      </c>
      <c r="K40" s="7" t="str">
        <f ca="1">IFERROR(IF(VLOOKUP(B40,'ERT Report Paste'!B:L,8,FALSE)&lt;=$O$4,"YES","NO"),"NO")</f>
        <v>NO</v>
      </c>
      <c r="L40" s="7" t="str">
        <f ca="1">IFERROR(IF(AND(VLOOKUP(B40,'ERT Report Paste'!B:L,7,FALSE)&gt;=$N$3,VLOOKUP(B40,'ERT Report Paste'!B:L,7,FALSE)&lt;=$O$3),"YES","NO"),"NO")</f>
        <v>NO</v>
      </c>
    </row>
    <row r="41" spans="1:12" x14ac:dyDescent="0.35">
      <c r="A41" s="5"/>
      <c r="B41" s="22"/>
      <c r="C41" s="6"/>
      <c r="D41" s="5"/>
      <c r="E41" s="6"/>
      <c r="F41" s="7" t="str">
        <f ca="1">IFERROR(IF(AND(VLOOKUP(B41,'ERT Report Paste'!B:K,4,FALSE)&gt;=$N$3,VLOOKUP(B41,'ERT Report Paste'!B:K,4,FALSE)&lt;=$O$3),"YES","NO"),"NO")</f>
        <v>NO</v>
      </c>
      <c r="G41" s="7" t="str">
        <f ca="1">IFERROR(IF(AND(VLOOKUP(B41,'ERT Report Paste'!B:L,6,FALSE)&gt;=$N$3,VLOOKUP(B41,'ERT Report Paste'!B:L,6,FALSE)&lt;=$O$3),"YES","NO"),"NO")</f>
        <v>NO</v>
      </c>
      <c r="H41" s="7" t="str">
        <f ca="1">IFERROR(IF(AND(VLOOKUP(B41,'ERT Report Paste'!B:L,5,FALSE)&gt;=$N$2,VLOOKUP(B41,'ERT Report Paste'!B:L,5,FALSE)&lt;=$O$2),"YES","NO"),"NO")</f>
        <v>NO</v>
      </c>
      <c r="I41" s="7" t="str">
        <f ca="1">IFERROR(IF(AND(VLOOKUP(B41,'ERT Report Paste'!B:L,10,FALSE)&gt;=$N$4,VLOOKUP(B41,'ERT Report Paste'!B:L,10,FALSE)&lt;=$O$4),"YES","NO"),"NO")</f>
        <v>NO</v>
      </c>
      <c r="J41" s="7" t="str">
        <f ca="1">IFERROR(IF(AND(VLOOKUP(B41,'ERT Report Paste'!B:L,9,FALSE)&gt;=$N$4,VLOOKUP(B41,'ERT Report Paste'!B:L,9,FALSE)&lt;=$O$4),"YES","NO"),"NO")</f>
        <v>NO</v>
      </c>
      <c r="K41" s="7" t="str">
        <f ca="1">IFERROR(IF(VLOOKUP(B41,'ERT Report Paste'!B:L,8,FALSE)&lt;=$O$4,"YES","NO"),"NO")</f>
        <v>NO</v>
      </c>
      <c r="L41" s="7" t="str">
        <f ca="1">IFERROR(IF(AND(VLOOKUP(B41,'ERT Report Paste'!B:L,7,FALSE)&gt;=$N$3,VLOOKUP(B41,'ERT Report Paste'!B:L,7,FALSE)&lt;=$O$3),"YES","NO"),"NO")</f>
        <v>NO</v>
      </c>
    </row>
    <row r="42" spans="1:12" x14ac:dyDescent="0.35">
      <c r="A42" s="5"/>
      <c r="B42" s="22"/>
      <c r="C42" s="6"/>
      <c r="D42" s="5"/>
      <c r="E42" s="6"/>
      <c r="F42" s="7" t="str">
        <f ca="1">IFERROR(IF(AND(VLOOKUP(B42,'ERT Report Paste'!B:K,4,FALSE)&gt;=$N$3,VLOOKUP(B42,'ERT Report Paste'!B:K,4,FALSE)&lt;=$O$3),"YES","NO"),"NO")</f>
        <v>NO</v>
      </c>
      <c r="G42" s="7" t="str">
        <f ca="1">IFERROR(IF(AND(VLOOKUP(B42,'ERT Report Paste'!B:L,6,FALSE)&gt;=$N$3,VLOOKUP(B42,'ERT Report Paste'!B:L,6,FALSE)&lt;=$O$3),"YES","NO"),"NO")</f>
        <v>NO</v>
      </c>
      <c r="H42" s="7" t="str">
        <f ca="1">IFERROR(IF(AND(VLOOKUP(B42,'ERT Report Paste'!B:L,5,FALSE)&gt;=$N$2,VLOOKUP(B42,'ERT Report Paste'!B:L,5,FALSE)&lt;=$O$2),"YES","NO"),"NO")</f>
        <v>NO</v>
      </c>
      <c r="I42" s="7" t="str">
        <f ca="1">IFERROR(IF(AND(VLOOKUP(B42,'ERT Report Paste'!B:L,10,FALSE)&gt;=$N$4,VLOOKUP(B42,'ERT Report Paste'!B:L,10,FALSE)&lt;=$O$4),"YES","NO"),"NO")</f>
        <v>NO</v>
      </c>
      <c r="J42" s="7" t="str">
        <f ca="1">IFERROR(IF(AND(VLOOKUP(B42,'ERT Report Paste'!B:L,9,FALSE)&gt;=$N$4,VLOOKUP(B42,'ERT Report Paste'!B:L,9,FALSE)&lt;=$O$4),"YES","NO"),"NO")</f>
        <v>NO</v>
      </c>
      <c r="K42" s="7" t="str">
        <f ca="1">IFERROR(IF(VLOOKUP(B42,'ERT Report Paste'!B:L,8,FALSE)&lt;=$O$4,"YES","NO"),"NO")</f>
        <v>NO</v>
      </c>
      <c r="L42" s="7" t="str">
        <f ca="1">IFERROR(IF(AND(VLOOKUP(B42,'ERT Report Paste'!B:L,7,FALSE)&gt;=$N$3,VLOOKUP(B42,'ERT Report Paste'!B:L,7,FALSE)&lt;=$O$3),"YES","NO"),"NO")</f>
        <v>NO</v>
      </c>
    </row>
    <row r="43" spans="1:12" x14ac:dyDescent="0.35">
      <c r="A43" s="5"/>
      <c r="B43" s="22"/>
      <c r="C43" s="6"/>
      <c r="D43" s="5"/>
      <c r="E43" s="6"/>
      <c r="F43" s="7" t="str">
        <f ca="1">IFERROR(IF(AND(VLOOKUP(B43,'ERT Report Paste'!B:K,4,FALSE)&gt;=$N$3,VLOOKUP(B43,'ERT Report Paste'!B:K,4,FALSE)&lt;=$O$3),"YES","NO"),"NO")</f>
        <v>NO</v>
      </c>
      <c r="G43" s="7" t="str">
        <f ca="1">IFERROR(IF(AND(VLOOKUP(B43,'ERT Report Paste'!B:L,6,FALSE)&gt;=$N$3,VLOOKUP(B43,'ERT Report Paste'!B:L,6,FALSE)&lt;=$O$3),"YES","NO"),"NO")</f>
        <v>NO</v>
      </c>
      <c r="H43" s="7" t="str">
        <f ca="1">IFERROR(IF(AND(VLOOKUP(B43,'ERT Report Paste'!B:L,5,FALSE)&gt;=$N$2,VLOOKUP(B43,'ERT Report Paste'!B:L,5,FALSE)&lt;=$O$2),"YES","NO"),"NO")</f>
        <v>NO</v>
      </c>
      <c r="I43" s="7" t="str">
        <f ca="1">IFERROR(IF(AND(VLOOKUP(B43,'ERT Report Paste'!B:L,10,FALSE)&gt;=$N$4,VLOOKUP(B43,'ERT Report Paste'!B:L,10,FALSE)&lt;=$O$4),"YES","NO"),"NO")</f>
        <v>NO</v>
      </c>
      <c r="J43" s="7" t="str">
        <f ca="1">IFERROR(IF(AND(VLOOKUP(B43,'ERT Report Paste'!B:L,9,FALSE)&gt;=$N$4,VLOOKUP(B43,'ERT Report Paste'!B:L,9,FALSE)&lt;=$O$4),"YES","NO"),"NO")</f>
        <v>NO</v>
      </c>
      <c r="K43" s="7" t="str">
        <f ca="1">IFERROR(IF(VLOOKUP(B43,'ERT Report Paste'!B:L,8,FALSE)&lt;=$O$4,"YES","NO"),"NO")</f>
        <v>NO</v>
      </c>
      <c r="L43" s="7" t="str">
        <f ca="1">IFERROR(IF(AND(VLOOKUP(B43,'ERT Report Paste'!B:L,7,FALSE)&gt;=$N$3,VLOOKUP(B43,'ERT Report Paste'!B:L,7,FALSE)&lt;=$O$3),"YES","NO"),"NO")</f>
        <v>NO</v>
      </c>
    </row>
    <row r="44" spans="1:12" x14ac:dyDescent="0.35">
      <c r="A44" s="5"/>
      <c r="B44" s="22"/>
      <c r="C44" s="6"/>
      <c r="D44" s="5"/>
      <c r="E44" s="6"/>
      <c r="F44" s="7" t="str">
        <f ca="1">IFERROR(IF(AND(VLOOKUP(B44,'ERT Report Paste'!B:K,4,FALSE)&gt;=$N$3,VLOOKUP(B44,'ERT Report Paste'!B:K,4,FALSE)&lt;=$O$3),"YES","NO"),"NO")</f>
        <v>NO</v>
      </c>
      <c r="G44" s="7" t="str">
        <f ca="1">IFERROR(IF(AND(VLOOKUP(B44,'ERT Report Paste'!B:L,6,FALSE)&gt;=$N$3,VLOOKUP(B44,'ERT Report Paste'!B:L,6,FALSE)&lt;=$O$3),"YES","NO"),"NO")</f>
        <v>NO</v>
      </c>
      <c r="H44" s="7" t="str">
        <f ca="1">IFERROR(IF(AND(VLOOKUP(B44,'ERT Report Paste'!B:L,5,FALSE)&gt;=$N$2,VLOOKUP(B44,'ERT Report Paste'!B:L,5,FALSE)&lt;=$O$2),"YES","NO"),"NO")</f>
        <v>NO</v>
      </c>
      <c r="I44" s="7" t="str">
        <f ca="1">IFERROR(IF(AND(VLOOKUP(B44,'ERT Report Paste'!B:L,10,FALSE)&gt;=$N$4,VLOOKUP(B44,'ERT Report Paste'!B:L,10,FALSE)&lt;=$O$4),"YES","NO"),"NO")</f>
        <v>NO</v>
      </c>
      <c r="J44" s="7" t="str">
        <f ca="1">IFERROR(IF(AND(VLOOKUP(B44,'ERT Report Paste'!B:L,9,FALSE)&gt;=$N$4,VLOOKUP(B44,'ERT Report Paste'!B:L,9,FALSE)&lt;=$O$4),"YES","NO"),"NO")</f>
        <v>NO</v>
      </c>
      <c r="K44" s="7" t="str">
        <f ca="1">IFERROR(IF(VLOOKUP(B44,'ERT Report Paste'!B:L,8,FALSE)&lt;=$O$4,"YES","NO"),"NO")</f>
        <v>NO</v>
      </c>
      <c r="L44" s="7" t="str">
        <f ca="1">IFERROR(IF(AND(VLOOKUP(B44,'ERT Report Paste'!B:L,7,FALSE)&gt;=$N$3,VLOOKUP(B44,'ERT Report Paste'!B:L,7,FALSE)&lt;=$O$3),"YES","NO"),"NO")</f>
        <v>NO</v>
      </c>
    </row>
    <row r="45" spans="1:12" x14ac:dyDescent="0.35">
      <c r="A45" s="5"/>
      <c r="B45" s="22"/>
      <c r="C45" s="6"/>
      <c r="D45" s="5"/>
      <c r="E45" s="6"/>
      <c r="F45" s="7" t="str">
        <f ca="1">IFERROR(IF(AND(VLOOKUP(B45,'ERT Report Paste'!B:K,4,FALSE)&gt;=$N$3,VLOOKUP(B45,'ERT Report Paste'!B:K,4,FALSE)&lt;=$O$3),"YES","NO"),"NO")</f>
        <v>NO</v>
      </c>
      <c r="G45" s="7" t="str">
        <f ca="1">IFERROR(IF(AND(VLOOKUP(B45,'ERT Report Paste'!B:L,6,FALSE)&gt;=$N$3,VLOOKUP(B45,'ERT Report Paste'!B:L,6,FALSE)&lt;=$O$3),"YES","NO"),"NO")</f>
        <v>NO</v>
      </c>
      <c r="H45" s="7" t="str">
        <f ca="1">IFERROR(IF(AND(VLOOKUP(B45,'ERT Report Paste'!B:L,5,FALSE)&gt;=$N$2,VLOOKUP(B45,'ERT Report Paste'!B:L,5,FALSE)&lt;=$O$2),"YES","NO"),"NO")</f>
        <v>NO</v>
      </c>
      <c r="I45" s="7" t="str">
        <f ca="1">IFERROR(IF(AND(VLOOKUP(B45,'ERT Report Paste'!B:L,10,FALSE)&gt;=$N$4,VLOOKUP(B45,'ERT Report Paste'!B:L,10,FALSE)&lt;=$O$4),"YES","NO"),"NO")</f>
        <v>NO</v>
      </c>
      <c r="J45" s="7" t="str">
        <f ca="1">IFERROR(IF(AND(VLOOKUP(B45,'ERT Report Paste'!B:L,9,FALSE)&gt;=$N$4,VLOOKUP(B45,'ERT Report Paste'!B:L,9,FALSE)&lt;=$O$4),"YES","NO"),"NO")</f>
        <v>NO</v>
      </c>
      <c r="K45" s="7" t="str">
        <f ca="1">IFERROR(IF(VLOOKUP(B45,'ERT Report Paste'!B:L,8,FALSE)&lt;=$O$4,"YES","NO"),"NO")</f>
        <v>NO</v>
      </c>
      <c r="L45" s="7" t="str">
        <f ca="1">IFERROR(IF(AND(VLOOKUP(B45,'ERT Report Paste'!B:L,7,FALSE)&gt;=$N$3,VLOOKUP(B45,'ERT Report Paste'!B:L,7,FALSE)&lt;=$O$3),"YES","NO"),"NO")</f>
        <v>NO</v>
      </c>
    </row>
    <row r="46" spans="1:12" x14ac:dyDescent="0.35">
      <c r="A46" s="5"/>
      <c r="B46" s="22"/>
      <c r="C46" s="6"/>
      <c r="D46" s="5"/>
      <c r="E46" s="6"/>
      <c r="F46" s="7" t="str">
        <f ca="1">IFERROR(IF(AND(VLOOKUP(B46,'ERT Report Paste'!B:K,4,FALSE)&gt;=$N$3,VLOOKUP(B46,'ERT Report Paste'!B:K,4,FALSE)&lt;=$O$3),"YES","NO"),"NO")</f>
        <v>NO</v>
      </c>
      <c r="G46" s="7" t="str">
        <f ca="1">IFERROR(IF(AND(VLOOKUP(B46,'ERT Report Paste'!B:L,6,FALSE)&gt;=$N$3,VLOOKUP(B46,'ERT Report Paste'!B:L,6,FALSE)&lt;=$O$3),"YES","NO"),"NO")</f>
        <v>NO</v>
      </c>
      <c r="H46" s="7" t="str">
        <f ca="1">IFERROR(IF(AND(VLOOKUP(B46,'ERT Report Paste'!B:L,5,FALSE)&gt;=$N$2,VLOOKUP(B46,'ERT Report Paste'!B:L,5,FALSE)&lt;=$O$2),"YES","NO"),"NO")</f>
        <v>NO</v>
      </c>
      <c r="I46" s="7" t="str">
        <f ca="1">IFERROR(IF(AND(VLOOKUP(B46,'ERT Report Paste'!B:L,10,FALSE)&gt;=$N$4,VLOOKUP(B46,'ERT Report Paste'!B:L,10,FALSE)&lt;=$O$4),"YES","NO"),"NO")</f>
        <v>NO</v>
      </c>
      <c r="J46" s="7" t="str">
        <f ca="1">IFERROR(IF(AND(VLOOKUP(B46,'ERT Report Paste'!B:L,9,FALSE)&gt;=$N$4,VLOOKUP(B46,'ERT Report Paste'!B:L,9,FALSE)&lt;=$O$4),"YES","NO"),"NO")</f>
        <v>NO</v>
      </c>
      <c r="K46" s="7" t="str">
        <f ca="1">IFERROR(IF(VLOOKUP(B46,'ERT Report Paste'!B:L,8,FALSE)&lt;=$O$4,"YES","NO"),"NO")</f>
        <v>NO</v>
      </c>
      <c r="L46" s="7" t="str">
        <f ca="1">IFERROR(IF(AND(VLOOKUP(B46,'ERT Report Paste'!B:L,7,FALSE)&gt;=$N$3,VLOOKUP(B46,'ERT Report Paste'!B:L,7,FALSE)&lt;=$O$3),"YES","NO"),"NO")</f>
        <v>NO</v>
      </c>
    </row>
    <row r="47" spans="1:12" x14ac:dyDescent="0.35">
      <c r="A47" s="5"/>
      <c r="B47" s="22"/>
      <c r="C47" s="6"/>
      <c r="D47" s="5"/>
      <c r="E47" s="6"/>
      <c r="F47" s="7" t="str">
        <f ca="1">IFERROR(IF(AND(VLOOKUP(B47,'ERT Report Paste'!B:K,4,FALSE)&gt;=$N$3,VLOOKUP(B47,'ERT Report Paste'!B:K,4,FALSE)&lt;=$O$3),"YES","NO"),"NO")</f>
        <v>NO</v>
      </c>
      <c r="G47" s="7" t="str">
        <f ca="1">IFERROR(IF(AND(VLOOKUP(B47,'ERT Report Paste'!B:L,6,FALSE)&gt;=$N$3,VLOOKUP(B47,'ERT Report Paste'!B:L,6,FALSE)&lt;=$O$3),"YES","NO"),"NO")</f>
        <v>NO</v>
      </c>
      <c r="H47" s="7" t="str">
        <f ca="1">IFERROR(IF(AND(VLOOKUP(B47,'ERT Report Paste'!B:L,5,FALSE)&gt;=$N$2,VLOOKUP(B47,'ERT Report Paste'!B:L,5,FALSE)&lt;=$O$2),"YES","NO"),"NO")</f>
        <v>NO</v>
      </c>
      <c r="I47" s="7" t="str">
        <f ca="1">IFERROR(IF(AND(VLOOKUP(B47,'ERT Report Paste'!B:L,10,FALSE)&gt;=$N$4,VLOOKUP(B47,'ERT Report Paste'!B:L,10,FALSE)&lt;=$O$4),"YES","NO"),"NO")</f>
        <v>NO</v>
      </c>
      <c r="J47" s="7" t="str">
        <f ca="1">IFERROR(IF(AND(VLOOKUP(B47,'ERT Report Paste'!B:L,9,FALSE)&gt;=$N$4,VLOOKUP(B47,'ERT Report Paste'!B:L,9,FALSE)&lt;=$O$4),"YES","NO"),"NO")</f>
        <v>NO</v>
      </c>
      <c r="K47" s="7" t="str">
        <f ca="1">IFERROR(IF(VLOOKUP(B47,'ERT Report Paste'!B:L,8,FALSE)&lt;=$O$4,"YES","NO"),"NO")</f>
        <v>NO</v>
      </c>
      <c r="L47" s="7" t="str">
        <f ca="1">IFERROR(IF(AND(VLOOKUP(B47,'ERT Report Paste'!B:L,7,FALSE)&gt;=$N$3,VLOOKUP(B47,'ERT Report Paste'!B:L,7,FALSE)&lt;=$O$3),"YES","NO"),"NO")</f>
        <v>NO</v>
      </c>
    </row>
    <row r="48" spans="1:12" x14ac:dyDescent="0.35">
      <c r="A48" s="5"/>
      <c r="B48" s="22"/>
      <c r="C48" s="6"/>
      <c r="D48" s="5"/>
      <c r="E48" s="6"/>
      <c r="F48" s="7" t="str">
        <f ca="1">IFERROR(IF(AND(VLOOKUP(B48,'ERT Report Paste'!B:K,4,FALSE)&gt;=$N$3,VLOOKUP(B48,'ERT Report Paste'!B:K,4,FALSE)&lt;=$O$3),"YES","NO"),"NO")</f>
        <v>NO</v>
      </c>
      <c r="G48" s="7" t="str">
        <f ca="1">IFERROR(IF(AND(VLOOKUP(B48,'ERT Report Paste'!B:L,6,FALSE)&gt;=$N$3,VLOOKUP(B48,'ERT Report Paste'!B:L,6,FALSE)&lt;=$O$3),"YES","NO"),"NO")</f>
        <v>NO</v>
      </c>
      <c r="H48" s="7" t="str">
        <f ca="1">IFERROR(IF(AND(VLOOKUP(B48,'ERT Report Paste'!B:L,5,FALSE)&gt;=$N$2,VLOOKUP(B48,'ERT Report Paste'!B:L,5,FALSE)&lt;=$O$2),"YES","NO"),"NO")</f>
        <v>NO</v>
      </c>
      <c r="I48" s="7" t="str">
        <f ca="1">IFERROR(IF(AND(VLOOKUP(B48,'ERT Report Paste'!B:L,10,FALSE)&gt;=$N$4,VLOOKUP(B48,'ERT Report Paste'!B:L,10,FALSE)&lt;=$O$4),"YES","NO"),"NO")</f>
        <v>NO</v>
      </c>
      <c r="J48" s="7" t="str">
        <f ca="1">IFERROR(IF(AND(VLOOKUP(B48,'ERT Report Paste'!B:L,9,FALSE)&gt;=$N$4,VLOOKUP(B48,'ERT Report Paste'!B:L,9,FALSE)&lt;=$O$4),"YES","NO"),"NO")</f>
        <v>NO</v>
      </c>
      <c r="K48" s="7" t="str">
        <f ca="1">IFERROR(IF(VLOOKUP(B48,'ERT Report Paste'!B:L,8,FALSE)&lt;=$O$4,"YES","NO"),"NO")</f>
        <v>NO</v>
      </c>
      <c r="L48" s="7" t="str">
        <f ca="1">IFERROR(IF(AND(VLOOKUP(B48,'ERT Report Paste'!B:L,7,FALSE)&gt;=$N$3,VLOOKUP(B48,'ERT Report Paste'!B:L,7,FALSE)&lt;=$O$3),"YES","NO"),"NO")</f>
        <v>NO</v>
      </c>
    </row>
    <row r="49" spans="1:16" x14ac:dyDescent="0.35">
      <c r="A49" s="5"/>
      <c r="B49" s="22"/>
      <c r="C49" s="6"/>
      <c r="D49" s="5"/>
      <c r="E49" s="6"/>
      <c r="F49" s="7" t="str">
        <f ca="1">IFERROR(IF(AND(VLOOKUP(B49,'ERT Report Paste'!B:K,4,FALSE)&gt;=$N$3,VLOOKUP(B49,'ERT Report Paste'!B:K,4,FALSE)&lt;=$O$3),"YES","NO"),"NO")</f>
        <v>NO</v>
      </c>
      <c r="G49" s="7" t="str">
        <f ca="1">IFERROR(IF(AND(VLOOKUP(B49,'ERT Report Paste'!B:L,6,FALSE)&gt;=$N$3,VLOOKUP(B49,'ERT Report Paste'!B:L,6,FALSE)&lt;=$O$3),"YES","NO"),"NO")</f>
        <v>NO</v>
      </c>
      <c r="H49" s="7" t="str">
        <f ca="1">IFERROR(IF(AND(VLOOKUP(B49,'ERT Report Paste'!B:L,5,FALSE)&gt;=$N$2,VLOOKUP(B49,'ERT Report Paste'!B:L,5,FALSE)&lt;=$O$2),"YES","NO"),"NO")</f>
        <v>NO</v>
      </c>
      <c r="I49" s="7" t="str">
        <f ca="1">IFERROR(IF(AND(VLOOKUP(B49,'ERT Report Paste'!B:L,10,FALSE)&gt;=$N$4,VLOOKUP(B49,'ERT Report Paste'!B:L,10,FALSE)&lt;=$O$4),"YES","NO"),"NO")</f>
        <v>NO</v>
      </c>
      <c r="J49" s="7" t="str">
        <f ca="1">IFERROR(IF(AND(VLOOKUP(B49,'ERT Report Paste'!B:L,9,FALSE)&gt;=$N$4,VLOOKUP(B49,'ERT Report Paste'!B:L,9,FALSE)&lt;=$O$4),"YES","NO"),"NO")</f>
        <v>NO</v>
      </c>
      <c r="K49" s="7" t="str">
        <f ca="1">IFERROR(IF(VLOOKUP(B49,'ERT Report Paste'!B:L,8,FALSE)&lt;=$O$4,"YES","NO"),"NO")</f>
        <v>NO</v>
      </c>
      <c r="L49" s="7" t="str">
        <f ca="1">IFERROR(IF(AND(VLOOKUP(B49,'ERT Report Paste'!B:L,7,FALSE)&gt;=$N$3,VLOOKUP(B49,'ERT Report Paste'!B:L,7,FALSE)&lt;=$O$3),"YES","NO"),"NO")</f>
        <v>NO</v>
      </c>
    </row>
    <row r="50" spans="1:16" x14ac:dyDescent="0.35">
      <c r="A50" s="5"/>
      <c r="B50" s="22"/>
      <c r="C50" s="6"/>
      <c r="D50" s="5"/>
      <c r="E50" s="6"/>
      <c r="F50" s="7" t="str">
        <f ca="1">IFERROR(IF(AND(VLOOKUP(B50,'ERT Report Paste'!B:K,4,FALSE)&gt;=$N$3,VLOOKUP(B50,'ERT Report Paste'!B:K,4,FALSE)&lt;=$O$3),"YES","NO"),"NO")</f>
        <v>NO</v>
      </c>
      <c r="G50" s="7" t="str">
        <f ca="1">IFERROR(IF(AND(VLOOKUP(B50,'ERT Report Paste'!B:L,6,FALSE)&gt;=$N$3,VLOOKUP(B50,'ERT Report Paste'!B:L,6,FALSE)&lt;=$O$3),"YES","NO"),"NO")</f>
        <v>NO</v>
      </c>
      <c r="H50" s="7" t="str">
        <f ca="1">IFERROR(IF(AND(VLOOKUP(B50,'ERT Report Paste'!B:L,5,FALSE)&gt;=$N$2,VLOOKUP(B50,'ERT Report Paste'!B:L,5,FALSE)&lt;=$O$2),"YES","NO"),"NO")</f>
        <v>NO</v>
      </c>
      <c r="I50" s="7" t="str">
        <f ca="1">IFERROR(IF(AND(VLOOKUP(B50,'ERT Report Paste'!B:L,10,FALSE)&gt;=$N$4,VLOOKUP(B50,'ERT Report Paste'!B:L,10,FALSE)&lt;=$O$4),"YES","NO"),"NO")</f>
        <v>NO</v>
      </c>
      <c r="J50" s="7" t="str">
        <f ca="1">IFERROR(IF(AND(VLOOKUP(B50,'ERT Report Paste'!B:L,9,FALSE)&gt;=$N$4,VLOOKUP(B50,'ERT Report Paste'!B:L,9,FALSE)&lt;=$O$4),"YES","NO"),"NO")</f>
        <v>NO</v>
      </c>
      <c r="K50" s="7" t="str">
        <f ca="1">IFERROR(IF(VLOOKUP(B50,'ERT Report Paste'!B:L,8,FALSE)&lt;=$O$4,"YES","NO"),"NO")</f>
        <v>NO</v>
      </c>
      <c r="L50" s="7" t="str">
        <f ca="1">IFERROR(IF(AND(VLOOKUP(B50,'ERT Report Paste'!B:L,7,FALSE)&gt;=$N$3,VLOOKUP(B50,'ERT Report Paste'!B:L,7,FALSE)&lt;=$O$3),"YES","NO"),"NO")</f>
        <v>NO</v>
      </c>
    </row>
    <row r="51" spans="1:16" x14ac:dyDescent="0.35">
      <c r="A51" s="5"/>
      <c r="B51" s="22"/>
      <c r="C51" s="6"/>
      <c r="D51" s="5"/>
      <c r="E51" s="6"/>
      <c r="F51" s="7" t="str">
        <f ca="1">IFERROR(IF(AND(VLOOKUP(B51,'ERT Report Paste'!B:K,4,FALSE)&gt;=$N$3,VLOOKUP(B51,'ERT Report Paste'!B:K,4,FALSE)&lt;=$O$3),"YES","NO"),"NO")</f>
        <v>NO</v>
      </c>
      <c r="G51" s="7" t="str">
        <f ca="1">IFERROR(IF(AND(VLOOKUP(B51,'ERT Report Paste'!B:L,6,FALSE)&gt;=$N$3,VLOOKUP(B51,'ERT Report Paste'!B:L,6,FALSE)&lt;=$O$3),"YES","NO"),"NO")</f>
        <v>NO</v>
      </c>
      <c r="H51" s="7" t="str">
        <f ca="1">IFERROR(IF(AND(VLOOKUP(B51,'ERT Report Paste'!B:L,5,FALSE)&gt;=$N$2,VLOOKUP(B51,'ERT Report Paste'!B:L,5,FALSE)&lt;=$O$2),"YES","NO"),"NO")</f>
        <v>NO</v>
      </c>
      <c r="I51" s="7" t="str">
        <f ca="1">IFERROR(IF(AND(VLOOKUP(B51,'ERT Report Paste'!B:L,10,FALSE)&gt;=$N$4,VLOOKUP(B51,'ERT Report Paste'!B:L,10,FALSE)&lt;=$O$4),"YES","NO"),"NO")</f>
        <v>NO</v>
      </c>
      <c r="J51" s="7" t="str">
        <f ca="1">IFERROR(IF(AND(VLOOKUP(B51,'ERT Report Paste'!B:L,9,FALSE)&gt;=$N$4,VLOOKUP(B51,'ERT Report Paste'!B:L,9,FALSE)&lt;=$O$4),"YES","NO"),"NO")</f>
        <v>NO</v>
      </c>
      <c r="K51" s="7" t="str">
        <f ca="1">IFERROR(IF(VLOOKUP(B51,'ERT Report Paste'!B:L,8,FALSE)&lt;=$O$4,"YES","NO"),"NO")</f>
        <v>NO</v>
      </c>
      <c r="L51" s="7" t="str">
        <f ca="1">IFERROR(IF(AND(VLOOKUP(B51,'ERT Report Paste'!B:L,7,FALSE)&gt;=$N$3,VLOOKUP(B51,'ERT Report Paste'!B:L,7,FALSE)&lt;=$O$3),"YES","NO"),"NO")</f>
        <v>NO</v>
      </c>
    </row>
    <row r="52" spans="1:16" x14ac:dyDescent="0.35">
      <c r="A52" s="5"/>
      <c r="B52" s="22"/>
      <c r="C52" s="6"/>
      <c r="D52" s="5"/>
      <c r="E52" s="6"/>
      <c r="F52" s="7" t="str">
        <f ca="1">IFERROR(IF(AND(VLOOKUP(B52,'ERT Report Paste'!B:K,4,FALSE)&gt;=$N$3,VLOOKUP(B52,'ERT Report Paste'!B:K,4,FALSE)&lt;=$O$3),"YES","NO"),"NO")</f>
        <v>NO</v>
      </c>
      <c r="G52" s="7" t="str">
        <f ca="1">IFERROR(IF(AND(VLOOKUP(B52,'ERT Report Paste'!B:L,6,FALSE)&gt;=$N$3,VLOOKUP(B52,'ERT Report Paste'!B:L,6,FALSE)&lt;=$O$3),"YES","NO"),"NO")</f>
        <v>NO</v>
      </c>
      <c r="H52" s="7" t="str">
        <f ca="1">IFERROR(IF(AND(VLOOKUP(B52,'ERT Report Paste'!B:L,5,FALSE)&gt;=$N$2,VLOOKUP(B52,'ERT Report Paste'!B:L,5,FALSE)&lt;=$O$2),"YES","NO"),"NO")</f>
        <v>NO</v>
      </c>
      <c r="I52" s="7" t="str">
        <f ca="1">IFERROR(IF(AND(VLOOKUP(B52,'ERT Report Paste'!B:L,10,FALSE)&gt;=$N$4,VLOOKUP(B52,'ERT Report Paste'!B:L,10,FALSE)&lt;=$O$4),"YES","NO"),"NO")</f>
        <v>NO</v>
      </c>
      <c r="J52" s="7" t="str">
        <f ca="1">IFERROR(IF(AND(VLOOKUP(B52,'ERT Report Paste'!B:L,9,FALSE)&gt;=$N$4,VLOOKUP(B52,'ERT Report Paste'!B:L,9,FALSE)&lt;=$O$4),"YES","NO"),"NO")</f>
        <v>NO</v>
      </c>
      <c r="K52" s="7" t="str">
        <f ca="1">IFERROR(IF(VLOOKUP(B52,'ERT Report Paste'!B:L,8,FALSE)&lt;=$O$4,"YES","NO"),"NO")</f>
        <v>NO</v>
      </c>
      <c r="L52" s="7" t="str">
        <f ca="1">IFERROR(IF(AND(VLOOKUP(B52,'ERT Report Paste'!B:L,7,FALSE)&gt;=$N$3,VLOOKUP(B52,'ERT Report Paste'!B:L,7,FALSE)&lt;=$O$3),"YES","NO"),"NO")</f>
        <v>NO</v>
      </c>
    </row>
    <row r="53" spans="1:16" x14ac:dyDescent="0.35">
      <c r="A53" s="5"/>
      <c r="B53" s="22"/>
      <c r="C53" s="6"/>
      <c r="D53" s="5"/>
      <c r="E53" s="6"/>
      <c r="F53" s="7" t="str">
        <f ca="1">IFERROR(IF(AND(VLOOKUP(B53,'ERT Report Paste'!B:K,4,FALSE)&gt;=$N$3,VLOOKUP(B53,'ERT Report Paste'!B:K,4,FALSE)&lt;=$O$3),"YES","NO"),"NO")</f>
        <v>NO</v>
      </c>
      <c r="G53" s="7" t="str">
        <f ca="1">IFERROR(IF(AND(VLOOKUP(B53,'ERT Report Paste'!B:L,6,FALSE)&gt;=$N$3,VLOOKUP(B53,'ERT Report Paste'!B:L,6,FALSE)&lt;=$O$3),"YES","NO"),"NO")</f>
        <v>NO</v>
      </c>
      <c r="H53" s="7" t="str">
        <f ca="1">IFERROR(IF(AND(VLOOKUP(B53,'ERT Report Paste'!B:L,5,FALSE)&gt;=$N$2,VLOOKUP(B53,'ERT Report Paste'!B:L,5,FALSE)&lt;=$O$2),"YES","NO"),"NO")</f>
        <v>NO</v>
      </c>
      <c r="I53" s="7" t="str">
        <f ca="1">IFERROR(IF(AND(VLOOKUP(B53,'ERT Report Paste'!B:L,10,FALSE)&gt;=$N$4,VLOOKUP(B53,'ERT Report Paste'!B:L,10,FALSE)&lt;=$O$4),"YES","NO"),"NO")</f>
        <v>NO</v>
      </c>
      <c r="J53" s="7" t="str">
        <f ca="1">IFERROR(IF(AND(VLOOKUP(B53,'ERT Report Paste'!B:L,9,FALSE)&gt;=$N$4,VLOOKUP(B53,'ERT Report Paste'!B:L,9,FALSE)&lt;=$O$4),"YES","NO"),"NO")</f>
        <v>NO</v>
      </c>
      <c r="K53" s="7" t="str">
        <f ca="1">IFERROR(IF(VLOOKUP(B53,'ERT Report Paste'!B:L,8,FALSE)&lt;=$O$4,"YES","NO"),"NO")</f>
        <v>NO</v>
      </c>
      <c r="L53" s="7" t="str">
        <f ca="1">IFERROR(IF(AND(VLOOKUP(B53,'ERT Report Paste'!B:L,7,FALSE)&gt;=$N$3,VLOOKUP(B53,'ERT Report Paste'!B:L,7,FALSE)&lt;=$O$3),"YES","NO"),"NO")</f>
        <v>NO</v>
      </c>
    </row>
    <row r="54" spans="1:16" x14ac:dyDescent="0.35">
      <c r="A54" s="5"/>
      <c r="B54" s="22"/>
      <c r="C54" s="6"/>
      <c r="D54" s="5"/>
      <c r="E54" s="6"/>
      <c r="F54" s="7" t="str">
        <f ca="1">IFERROR(IF(AND(VLOOKUP(B54,'ERT Report Paste'!B:K,4,FALSE)&gt;=$N$3,VLOOKUP(B54,'ERT Report Paste'!B:K,4,FALSE)&lt;=$O$3),"YES","NO"),"NO")</f>
        <v>NO</v>
      </c>
      <c r="G54" s="7" t="str">
        <f ca="1">IFERROR(IF(AND(VLOOKUP(B54,'ERT Report Paste'!B:L,6,FALSE)&gt;=$N$3,VLOOKUP(B54,'ERT Report Paste'!B:L,6,FALSE)&lt;=$O$3),"YES","NO"),"NO")</f>
        <v>NO</v>
      </c>
      <c r="H54" s="7" t="str">
        <f ca="1">IFERROR(IF(AND(VLOOKUP(B54,'ERT Report Paste'!B:L,5,FALSE)&gt;=$N$2,VLOOKUP(B54,'ERT Report Paste'!B:L,5,FALSE)&lt;=$O$2),"YES","NO"),"NO")</f>
        <v>NO</v>
      </c>
      <c r="I54" s="7" t="str">
        <f ca="1">IFERROR(IF(AND(VLOOKUP(B54,'ERT Report Paste'!B:L,10,FALSE)&gt;=$N$4,VLOOKUP(B54,'ERT Report Paste'!B:L,10,FALSE)&lt;=$O$4),"YES","NO"),"NO")</f>
        <v>NO</v>
      </c>
      <c r="J54" s="7" t="str">
        <f ca="1">IFERROR(IF(AND(VLOOKUP(B54,'ERT Report Paste'!B:L,9,FALSE)&gt;=$N$4,VLOOKUP(B54,'ERT Report Paste'!B:L,9,FALSE)&lt;=$O$4),"YES","NO"),"NO")</f>
        <v>NO</v>
      </c>
      <c r="K54" s="7" t="str">
        <f ca="1">IFERROR(IF(VLOOKUP(B54,'ERT Report Paste'!B:L,8,FALSE)&lt;=$O$4,"YES","NO"),"NO")</f>
        <v>NO</v>
      </c>
      <c r="L54" s="7" t="str">
        <f ca="1">IFERROR(IF(AND(VLOOKUP(B54,'ERT Report Paste'!B:L,7,FALSE)&gt;=$N$3,VLOOKUP(B54,'ERT Report Paste'!B:L,7,FALSE)&lt;=$O$3),"YES","NO"),"NO")</f>
        <v>NO</v>
      </c>
    </row>
    <row r="55" spans="1:16" x14ac:dyDescent="0.35">
      <c r="A55" s="5"/>
      <c r="B55" s="22"/>
      <c r="C55" s="6"/>
      <c r="D55" s="5"/>
      <c r="E55" s="6"/>
      <c r="F55" s="7" t="str">
        <f ca="1">IFERROR(IF(AND(VLOOKUP(B55,'ERT Report Paste'!B:K,4,FALSE)&gt;=$N$3,VLOOKUP(B55,'ERT Report Paste'!B:K,4,FALSE)&lt;=$O$3),"YES","NO"),"NO")</f>
        <v>NO</v>
      </c>
      <c r="G55" s="7" t="str">
        <f ca="1">IFERROR(IF(AND(VLOOKUP(B55,'ERT Report Paste'!B:L,6,FALSE)&gt;=$N$3,VLOOKUP(B55,'ERT Report Paste'!B:L,6,FALSE)&lt;=$O$3),"YES","NO"),"NO")</f>
        <v>NO</v>
      </c>
      <c r="H55" s="7" t="str">
        <f ca="1">IFERROR(IF(AND(VLOOKUP(B55,'ERT Report Paste'!B:L,5,FALSE)&gt;=$N$2,VLOOKUP(B55,'ERT Report Paste'!B:L,5,FALSE)&lt;=$O$2),"YES","NO"),"NO")</f>
        <v>NO</v>
      </c>
      <c r="I55" s="7" t="str">
        <f ca="1">IFERROR(IF(AND(VLOOKUP(B55,'ERT Report Paste'!B:L,10,FALSE)&gt;=$N$4,VLOOKUP(B55,'ERT Report Paste'!B:L,10,FALSE)&lt;=$O$4),"YES","NO"),"NO")</f>
        <v>NO</v>
      </c>
      <c r="J55" s="7" t="str">
        <f ca="1">IFERROR(IF(AND(VLOOKUP(B55,'ERT Report Paste'!B:L,9,FALSE)&gt;=$N$4,VLOOKUP(B55,'ERT Report Paste'!B:L,9,FALSE)&lt;=$O$4),"YES","NO"),"NO")</f>
        <v>NO</v>
      </c>
      <c r="K55" s="7" t="str">
        <f ca="1">IFERROR(IF(VLOOKUP(B55,'ERT Report Paste'!B:L,8,FALSE)&lt;=$O$4,"YES","NO"),"NO")</f>
        <v>NO</v>
      </c>
      <c r="L55" s="7" t="str">
        <f ca="1">IFERROR(IF(AND(VLOOKUP(B55,'ERT Report Paste'!B:L,7,FALSE)&gt;=$N$3,VLOOKUP(B55,'ERT Report Paste'!B:L,7,FALSE)&lt;=$O$3),"YES","NO"),"NO")</f>
        <v>NO</v>
      </c>
    </row>
    <row r="56" spans="1:16" x14ac:dyDescent="0.35">
      <c r="A56" s="5"/>
      <c r="B56" s="22"/>
      <c r="C56" s="6"/>
      <c r="D56" s="5"/>
      <c r="E56" s="6"/>
      <c r="F56" s="7" t="str">
        <f ca="1">IFERROR(IF(AND(VLOOKUP(B56,'ERT Report Paste'!B:K,4,FALSE)&gt;=$N$3,VLOOKUP(B56,'ERT Report Paste'!B:K,4,FALSE)&lt;=$O$3),"YES","NO"),"NO")</f>
        <v>NO</v>
      </c>
      <c r="G56" s="7" t="str">
        <f ca="1">IFERROR(IF(AND(VLOOKUP(B56,'ERT Report Paste'!B:L,6,FALSE)&gt;=$N$3,VLOOKUP(B56,'ERT Report Paste'!B:L,6,FALSE)&lt;=$O$3),"YES","NO"),"NO")</f>
        <v>NO</v>
      </c>
      <c r="H56" s="7" t="str">
        <f ca="1">IFERROR(IF(AND(VLOOKUP(B56,'ERT Report Paste'!B:L,5,FALSE)&gt;=$N$2,VLOOKUP(B56,'ERT Report Paste'!B:L,5,FALSE)&lt;=$O$2),"YES","NO"),"NO")</f>
        <v>NO</v>
      </c>
      <c r="I56" s="7" t="str">
        <f ca="1">IFERROR(IF(AND(VLOOKUP(B56,'ERT Report Paste'!B:L,10,FALSE)&gt;=$N$4,VLOOKUP(B56,'ERT Report Paste'!B:L,10,FALSE)&lt;=$O$4),"YES","NO"),"NO")</f>
        <v>NO</v>
      </c>
      <c r="J56" s="7" t="str">
        <f ca="1">IFERROR(IF(AND(VLOOKUP(B56,'ERT Report Paste'!B:L,9,FALSE)&gt;=$N$4,VLOOKUP(B56,'ERT Report Paste'!B:L,9,FALSE)&lt;=$O$4),"YES","NO"),"NO")</f>
        <v>NO</v>
      </c>
      <c r="K56" s="7" t="str">
        <f ca="1">IFERROR(IF(VLOOKUP(B56,'ERT Report Paste'!B:L,8,FALSE)&lt;=$O$4,"YES","NO"),"NO")</f>
        <v>NO</v>
      </c>
      <c r="L56" s="7" t="str">
        <f ca="1">IFERROR(IF(AND(VLOOKUP(B56,'ERT Report Paste'!B:L,7,FALSE)&gt;=$N$3,VLOOKUP(B56,'ERT Report Paste'!B:L,7,FALSE)&lt;=$O$3),"YES","NO"),"NO")</f>
        <v>NO</v>
      </c>
    </row>
    <row r="57" spans="1:16" x14ac:dyDescent="0.35">
      <c r="A57" s="5"/>
      <c r="B57" s="22"/>
      <c r="C57" s="6"/>
      <c r="D57" s="5"/>
      <c r="E57" s="6"/>
      <c r="F57" s="7" t="str">
        <f ca="1">IFERROR(IF(AND(VLOOKUP(B57,'ERT Report Paste'!B:K,4,FALSE)&gt;=$N$3,VLOOKUP(B57,'ERT Report Paste'!B:K,4,FALSE)&lt;=$O$3),"YES","NO"),"NO")</f>
        <v>NO</v>
      </c>
      <c r="G57" s="7" t="str">
        <f ca="1">IFERROR(IF(AND(VLOOKUP(B57,'ERT Report Paste'!B:L,6,FALSE)&gt;=$N$3,VLOOKUP(B57,'ERT Report Paste'!B:L,6,FALSE)&lt;=$O$3),"YES","NO"),"NO")</f>
        <v>NO</v>
      </c>
      <c r="H57" s="7" t="str">
        <f ca="1">IFERROR(IF(AND(VLOOKUP(B57,'ERT Report Paste'!B:L,5,FALSE)&gt;=$N$2,VLOOKUP(B57,'ERT Report Paste'!B:L,5,FALSE)&lt;=$O$2),"YES","NO"),"NO")</f>
        <v>NO</v>
      </c>
      <c r="I57" s="7" t="str">
        <f ca="1">IFERROR(IF(AND(VLOOKUP(B57,'ERT Report Paste'!B:L,10,FALSE)&gt;=$N$4,VLOOKUP(B57,'ERT Report Paste'!B:L,10,FALSE)&lt;=$O$4),"YES","NO"),"NO")</f>
        <v>NO</v>
      </c>
      <c r="J57" s="7" t="str">
        <f ca="1">IFERROR(IF(AND(VLOOKUP(B57,'ERT Report Paste'!B:L,9,FALSE)&gt;=$N$4,VLOOKUP(B57,'ERT Report Paste'!B:L,9,FALSE)&lt;=$O$4),"YES","NO"),"NO")</f>
        <v>NO</v>
      </c>
      <c r="K57" s="7" t="str">
        <f ca="1">IFERROR(IF(VLOOKUP(B57,'ERT Report Paste'!B:L,8,FALSE)&lt;=$O$4,"YES","NO"),"NO")</f>
        <v>NO</v>
      </c>
      <c r="L57" s="7" t="str">
        <f ca="1">IFERROR(IF(AND(VLOOKUP(B57,'ERT Report Paste'!B:L,7,FALSE)&gt;=$N$3,VLOOKUP(B57,'ERT Report Paste'!B:L,7,FALSE)&lt;=$O$3),"YES","NO"),"NO")</f>
        <v>NO</v>
      </c>
    </row>
    <row r="58" spans="1:16" x14ac:dyDescent="0.35">
      <c r="A58" s="5"/>
      <c r="B58" s="22"/>
      <c r="C58" s="6"/>
      <c r="D58" s="5"/>
      <c r="E58" s="6"/>
      <c r="F58" s="7" t="str">
        <f ca="1">IFERROR(IF(AND(VLOOKUP(B58,'ERT Report Paste'!B:K,4,FALSE)&gt;=$N$3,VLOOKUP(B58,'ERT Report Paste'!B:K,4,FALSE)&lt;=$O$3),"YES","NO"),"NO")</f>
        <v>NO</v>
      </c>
      <c r="G58" s="7" t="str">
        <f ca="1">IFERROR(IF(AND(VLOOKUP(B58,'ERT Report Paste'!B:L,6,FALSE)&gt;=$N$3,VLOOKUP(B58,'ERT Report Paste'!B:L,6,FALSE)&lt;=$O$3),"YES","NO"),"NO")</f>
        <v>NO</v>
      </c>
      <c r="H58" s="7" t="str">
        <f ca="1">IFERROR(IF(AND(VLOOKUP(B58,'ERT Report Paste'!B:L,5,FALSE)&gt;=$N$2,VLOOKUP(B58,'ERT Report Paste'!B:L,5,FALSE)&lt;=$O$2),"YES","NO"),"NO")</f>
        <v>NO</v>
      </c>
      <c r="I58" s="7" t="str">
        <f ca="1">IFERROR(IF(AND(VLOOKUP(B58,'ERT Report Paste'!B:L,10,FALSE)&gt;=$N$4,VLOOKUP(B58,'ERT Report Paste'!B:L,10,FALSE)&lt;=$O$4),"YES","NO"),"NO")</f>
        <v>NO</v>
      </c>
      <c r="J58" s="7" t="str">
        <f ca="1">IFERROR(IF(AND(VLOOKUP(B58,'ERT Report Paste'!B:L,9,FALSE)&gt;=$N$4,VLOOKUP(B58,'ERT Report Paste'!B:L,9,FALSE)&lt;=$O$4),"YES","NO"),"NO")</f>
        <v>NO</v>
      </c>
      <c r="K58" s="7" t="str">
        <f ca="1">IFERROR(IF(VLOOKUP(B58,'ERT Report Paste'!B:L,8,FALSE)&lt;=$O$4,"YES","NO"),"NO")</f>
        <v>NO</v>
      </c>
      <c r="L58" s="7" t="str">
        <f ca="1">IFERROR(IF(AND(VLOOKUP(B58,'ERT Report Paste'!B:L,7,FALSE)&gt;=$N$3,VLOOKUP(B58,'ERT Report Paste'!B:L,7,FALSE)&lt;=$O$3),"YES","NO"),"NO")</f>
        <v>NO</v>
      </c>
    </row>
    <row r="59" spans="1:16" x14ac:dyDescent="0.35">
      <c r="A59" s="8"/>
      <c r="B59" s="24"/>
      <c r="C59" s="9"/>
      <c r="D59" s="8"/>
      <c r="E59" s="9"/>
      <c r="F59" s="7" t="str">
        <f ca="1">IFERROR(IF(AND(VLOOKUP(B59,'ERT Report Paste'!B:K,4,FALSE)&gt;=$N$3,VLOOKUP(B59,'ERT Report Paste'!B:K,4,FALSE)&lt;=$O$3),"YES","NO"),"NO")</f>
        <v>NO</v>
      </c>
      <c r="G59" s="7" t="str">
        <f ca="1">IFERROR(IF(AND(VLOOKUP(B59,'ERT Report Paste'!B:L,6,FALSE)&gt;=$N$3,VLOOKUP(B59,'ERT Report Paste'!B:L,6,FALSE)&lt;=$O$3),"YES","NO"),"NO")</f>
        <v>NO</v>
      </c>
      <c r="H59" s="7" t="str">
        <f ca="1">IFERROR(IF(AND(VLOOKUP(B59,'ERT Report Paste'!B:L,5,FALSE)&gt;=$N$2,VLOOKUP(B59,'ERT Report Paste'!B:L,5,FALSE)&lt;=$O$2),"YES","NO"),"NO")</f>
        <v>NO</v>
      </c>
      <c r="I59" s="7" t="str">
        <f ca="1">IFERROR(IF(AND(VLOOKUP(B59,'ERT Report Paste'!B:L,10,FALSE)&gt;=$N$4,VLOOKUP(B59,'ERT Report Paste'!B:L,10,FALSE)&lt;=$O$4),"YES","NO"),"NO")</f>
        <v>NO</v>
      </c>
      <c r="J59" s="7" t="str">
        <f ca="1">IFERROR(IF(AND(VLOOKUP(B59,'ERT Report Paste'!B:L,9,FALSE)&gt;=$N$4,VLOOKUP(B59,'ERT Report Paste'!B:L,9,FALSE)&lt;=$O$4),"YES","NO"),"NO")</f>
        <v>NO</v>
      </c>
      <c r="K59" s="7" t="str">
        <f ca="1">IFERROR(IF(VLOOKUP(B59,'ERT Report Paste'!B:L,8,FALSE)&lt;=$O$4,"YES","NO"),"NO")</f>
        <v>NO</v>
      </c>
      <c r="L59" s="7" t="str">
        <f ca="1">IFERROR(IF(AND(VLOOKUP(B59,'ERT Report Paste'!B:L,7,FALSE)&gt;=$N$3,VLOOKUP(B59,'ERT Report Paste'!B:L,7,FALSE)&lt;=$O$3),"YES","NO"),"NO")</f>
        <v>NO</v>
      </c>
    </row>
    <row r="60" spans="1:16" s="10" customFormat="1" x14ac:dyDescent="0.35">
      <c r="A60" s="5"/>
      <c r="B60" s="24"/>
      <c r="C60" s="6"/>
      <c r="D60" s="5"/>
      <c r="E60" s="6"/>
      <c r="F60" s="7" t="str">
        <f ca="1">IFERROR(IF(AND(VLOOKUP(B60,'ERT Report Paste'!B:K,4,FALSE)&gt;=$N$3,VLOOKUP(B60,'ERT Report Paste'!B:K,4,FALSE)&lt;=$O$3),"YES","NO"),"NO")</f>
        <v>NO</v>
      </c>
      <c r="G60" s="7" t="str">
        <f ca="1">IFERROR(IF(AND(VLOOKUP(B60,'ERT Report Paste'!B:L,6,FALSE)&gt;=$N$3,VLOOKUP(B60,'ERT Report Paste'!B:L,6,FALSE)&lt;=$O$3),"YES","NO"),"NO")</f>
        <v>NO</v>
      </c>
      <c r="H60" s="7" t="str">
        <f ca="1">IFERROR(IF(AND(VLOOKUP(B60,'ERT Report Paste'!B:L,5,FALSE)&gt;=$N$2,VLOOKUP(B60,'ERT Report Paste'!B:L,5,FALSE)&lt;=$O$2),"YES","NO"),"NO")</f>
        <v>NO</v>
      </c>
      <c r="I60" s="7" t="str">
        <f ca="1">IFERROR(IF(AND(VLOOKUP(B60,'ERT Report Paste'!B:L,10,FALSE)&gt;=$N$4,VLOOKUP(B60,'ERT Report Paste'!B:L,10,FALSE)&lt;=$O$4),"YES","NO"),"NO")</f>
        <v>NO</v>
      </c>
      <c r="J60" s="7" t="str">
        <f ca="1">IFERROR(IF(AND(VLOOKUP(B60,'ERT Report Paste'!B:L,9,FALSE)&gt;=$N$4,VLOOKUP(B60,'ERT Report Paste'!B:L,9,FALSE)&lt;=$O$4),"YES","NO"),"NO")</f>
        <v>NO</v>
      </c>
      <c r="K60" s="7" t="str">
        <f ca="1">IFERROR(IF(VLOOKUP(B60,'ERT Report Paste'!B:L,8,FALSE)&lt;=$O$4,"YES","NO"),"NO")</f>
        <v>NO</v>
      </c>
      <c r="L60" s="7" t="str">
        <f ca="1">IFERROR(IF(AND(VLOOKUP(B60,'ERT Report Paste'!B:L,7,FALSE)&gt;=$N$3,VLOOKUP(B60,'ERT Report Paste'!B:L,7,FALSE)&lt;=$O$3),"YES","NO"),"NO")</f>
        <v>NO</v>
      </c>
      <c r="N60" s="1"/>
      <c r="O60" s="1"/>
      <c r="P60"/>
    </row>
    <row r="61" spans="1:16" s="10" customFormat="1" x14ac:dyDescent="0.35">
      <c r="A61" s="5"/>
      <c r="B61" s="11"/>
      <c r="C61" s="13"/>
      <c r="D61" s="5"/>
      <c r="E61" s="13"/>
      <c r="F61" s="7" t="str">
        <f ca="1">IFERROR(IF(AND(VLOOKUP(B61,'ERT Report Paste'!B:K,4,FALSE)&gt;=$N$3,VLOOKUP(B61,'ERT Report Paste'!B:K,4,FALSE)&lt;=$O$3),"YES","NO"),"NO")</f>
        <v>NO</v>
      </c>
      <c r="G61" s="7" t="str">
        <f ca="1">IFERROR(IF(AND(VLOOKUP(B61,'ERT Report Paste'!B:L,6,FALSE)&gt;=$N$3,VLOOKUP(B61,'ERT Report Paste'!B:L,6,FALSE)&lt;=$O$3),"YES","NO"),"NO")</f>
        <v>NO</v>
      </c>
      <c r="H61" s="7" t="str">
        <f ca="1">IFERROR(IF(AND(VLOOKUP(B61,'ERT Report Paste'!B:L,5,FALSE)&gt;=$N$2,VLOOKUP(B61,'ERT Report Paste'!B:L,5,FALSE)&lt;=$O$2),"YES","NO"),"NO")</f>
        <v>NO</v>
      </c>
      <c r="I61" s="7" t="str">
        <f ca="1">IFERROR(IF(AND(VLOOKUP(B61,'ERT Report Paste'!B:L,10,FALSE)&gt;=$N$4,VLOOKUP(B61,'ERT Report Paste'!B:L,10,FALSE)&lt;=$O$4),"YES","NO"),"NO")</f>
        <v>NO</v>
      </c>
      <c r="J61" s="7" t="str">
        <f ca="1">IFERROR(IF(AND(VLOOKUP(B61,'ERT Report Paste'!B:L,9,FALSE)&gt;=$N$4,VLOOKUP(B61,'ERT Report Paste'!B:L,9,FALSE)&lt;=$O$4),"YES","NO"),"NO")</f>
        <v>NO</v>
      </c>
      <c r="K61" s="7" t="str">
        <f ca="1">IFERROR(IF(VLOOKUP(B61,'ERT Report Paste'!B:L,8,FALSE)&lt;=$O$4,"YES","NO"),"NO")</f>
        <v>NO</v>
      </c>
      <c r="L61" s="7" t="str">
        <f ca="1">IFERROR(IF(AND(VLOOKUP(B61,'ERT Report Paste'!B:L,7,FALSE)&gt;=$N$3,VLOOKUP(B61,'ERT Report Paste'!B:L,7,FALSE)&lt;=$O$3),"YES","NO"),"NO")</f>
        <v>NO</v>
      </c>
      <c r="N61" s="20"/>
      <c r="O61" s="20"/>
    </row>
    <row r="62" spans="1:16" s="10" customFormat="1" x14ac:dyDescent="0.35">
      <c r="A62" s="5"/>
      <c r="B62" s="12"/>
      <c r="C62" s="13"/>
      <c r="D62" s="5"/>
      <c r="E62" s="13"/>
      <c r="F62" s="7" t="str">
        <f ca="1">IFERROR(IF(AND(VLOOKUP(B62,'ERT Report Paste'!B:K,4,FALSE)&gt;=$N$3,VLOOKUP(B62,'ERT Report Paste'!B:K,4,FALSE)&lt;=$O$3),"YES","NO"),"NO")</f>
        <v>NO</v>
      </c>
      <c r="G62" s="7" t="str">
        <f ca="1">IFERROR(IF(AND(VLOOKUP(B62,'ERT Report Paste'!B:L,6,FALSE)&gt;=$N$3,VLOOKUP(B62,'ERT Report Paste'!B:L,6,FALSE)&lt;=$O$3),"YES","NO"),"NO")</f>
        <v>NO</v>
      </c>
      <c r="H62" s="7" t="str">
        <f ca="1">IFERROR(IF(AND(VLOOKUP(B62,'ERT Report Paste'!B:L,5,FALSE)&gt;=$N$2,VLOOKUP(B62,'ERT Report Paste'!B:L,5,FALSE)&lt;=$O$2),"YES","NO"),"NO")</f>
        <v>NO</v>
      </c>
      <c r="I62" s="7" t="str">
        <f ca="1">IFERROR(IF(AND(VLOOKUP(B62,'ERT Report Paste'!B:L,10,FALSE)&gt;=$N$4,VLOOKUP(B62,'ERT Report Paste'!B:L,10,FALSE)&lt;=$O$4),"YES","NO"),"NO")</f>
        <v>NO</v>
      </c>
      <c r="J62" s="7" t="str">
        <f ca="1">IFERROR(IF(AND(VLOOKUP(B62,'ERT Report Paste'!B:L,9,FALSE)&gt;=$N$4,VLOOKUP(B62,'ERT Report Paste'!B:L,9,FALSE)&lt;=$O$4),"YES","NO"),"NO")</f>
        <v>NO</v>
      </c>
      <c r="K62" s="7" t="str">
        <f ca="1">IFERROR(IF(VLOOKUP(B62,'ERT Report Paste'!B:L,8,FALSE)&lt;=$O$4,"YES","NO"),"NO")</f>
        <v>NO</v>
      </c>
      <c r="L62" s="7" t="str">
        <f ca="1">IFERROR(IF(AND(VLOOKUP(B62,'ERT Report Paste'!B:L,7,FALSE)&gt;=$N$3,VLOOKUP(B62,'ERT Report Paste'!B:L,7,FALSE)&lt;=$O$3),"YES","NO"),"NO")</f>
        <v>NO</v>
      </c>
      <c r="N62" s="20"/>
      <c r="O62" s="20"/>
    </row>
    <row r="63" spans="1:16" x14ac:dyDescent="0.35">
      <c r="N63" s="20"/>
      <c r="O63" s="20"/>
      <c r="P63" s="10"/>
    </row>
  </sheetData>
  <autoFilter ref="A2:L62" xr:uid="{00000000-0009-0000-0000-000000000000}">
    <sortState xmlns:xlrd2="http://schemas.microsoft.com/office/spreadsheetml/2017/richdata2" ref="A3:L62">
      <sortCondition ref="A2:A62"/>
    </sortState>
  </autoFilter>
  <sortState xmlns:xlrd2="http://schemas.microsoft.com/office/spreadsheetml/2017/richdata2" ref="A3:L60">
    <sortCondition ref="E3:E60"/>
    <sortCondition ref="A3:A60"/>
  </sortState>
  <mergeCells count="1">
    <mergeCell ref="A1:L1"/>
  </mergeCells>
  <phoneticPr fontId="4" type="noConversion"/>
  <conditionalFormatting sqref="F3:L62">
    <cfRule type="cellIs" dxfId="16" priority="1" operator="equal">
      <formula>"NO"</formula>
    </cfRule>
    <cfRule type="cellIs" dxfId="15" priority="2" operator="equal">
      <formula>"Yes"</formula>
    </cfRule>
    <cfRule type="cellIs" dxfId="14" priority="3" operator="equal">
      <formula>"N"</formula>
    </cfRule>
    <cfRule type="cellIs" dxfId="13" priority="4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8E7A-FBDE-4B8D-A835-36720BF3AF15}">
  <sheetPr codeName="Sheet2"/>
  <dimension ref="A1:L2"/>
  <sheetViews>
    <sheetView workbookViewId="0">
      <selection activeCell="H13" sqref="H13"/>
    </sheetView>
  </sheetViews>
  <sheetFormatPr defaultRowHeight="14.5" x14ac:dyDescent="0.35"/>
  <cols>
    <col min="1" max="4" width="23" customWidth="1"/>
    <col min="5" max="5" width="36.6328125" style="19" customWidth="1"/>
    <col min="6" max="6" width="39.81640625" style="19" customWidth="1"/>
    <col min="7" max="7" width="31.6328125" style="19" customWidth="1"/>
    <col min="8" max="8" width="39.81640625" style="19" customWidth="1"/>
    <col min="9" max="9" width="30.81640625" style="19" customWidth="1"/>
    <col min="10" max="10" width="24.26953125" style="19" customWidth="1"/>
    <col min="11" max="11" width="24.81640625" style="19" customWidth="1"/>
    <col min="12" max="12" width="23" customWidth="1"/>
  </cols>
  <sheetData>
    <row r="1" spans="1:12" ht="48" customHeight="1" x14ac:dyDescent="0.35">
      <c r="A1" s="16" t="s">
        <v>6</v>
      </c>
      <c r="B1" s="16" t="s">
        <v>7</v>
      </c>
      <c r="C1" s="16" t="s">
        <v>8</v>
      </c>
      <c r="D1" s="16" t="s">
        <v>9</v>
      </c>
      <c r="E1" s="33" t="s">
        <v>10</v>
      </c>
      <c r="F1" s="33" t="s">
        <v>11</v>
      </c>
      <c r="G1" s="33" t="s">
        <v>12</v>
      </c>
      <c r="H1" s="33" t="s">
        <v>13</v>
      </c>
      <c r="I1" s="33" t="s">
        <v>14</v>
      </c>
      <c r="J1" s="33" t="s">
        <v>15</v>
      </c>
      <c r="K1" s="33" t="s">
        <v>16</v>
      </c>
      <c r="L1" s="16" t="s">
        <v>17</v>
      </c>
    </row>
    <row r="2" spans="1:12" x14ac:dyDescent="0.35">
      <c r="A2" s="17"/>
      <c r="B2" s="17"/>
      <c r="C2" s="17"/>
      <c r="D2" s="17"/>
      <c r="E2" s="30"/>
      <c r="F2" s="30"/>
      <c r="G2" s="30"/>
      <c r="H2" s="30"/>
      <c r="I2" s="30"/>
      <c r="J2" s="18"/>
      <c r="K2" s="18"/>
      <c r="L2" s="17"/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928E04CAB6243B45F9B3194D95BDF" ma:contentTypeVersion="9" ma:contentTypeDescription="Create a new document." ma:contentTypeScope="" ma:versionID="2479c133625335ac907656724dc14dc1">
  <xsd:schema xmlns:xsd="http://www.w3.org/2001/XMLSchema" xmlns:xs="http://www.w3.org/2001/XMLSchema" xmlns:p="http://schemas.microsoft.com/office/2006/metadata/properties" xmlns:ns3="baed7cfd-e613-48d4-aeda-bc3622be3689" xmlns:ns4="a1c3fb2b-2b63-49ee-baa7-69f37ee2477c" targetNamespace="http://schemas.microsoft.com/office/2006/metadata/properties" ma:root="true" ma:fieldsID="96a5225468fc174c667fda5dc2039ae7" ns3:_="" ns4:_="">
    <xsd:import namespace="baed7cfd-e613-48d4-aeda-bc3622be3689"/>
    <xsd:import namespace="a1c3fb2b-2b63-49ee-baa7-69f37ee2477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d7cfd-e613-48d4-aeda-bc3622be36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c3fb2b-2b63-49ee-baa7-69f37ee247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F8BD1D-A057-40D1-ACB5-72526898EF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0B381C-EECC-4C96-8821-F8F0DA91EA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d7cfd-e613-48d4-aeda-bc3622be3689"/>
    <ds:schemaRef ds:uri="a1c3fb2b-2b63-49ee-baa7-69f37ee247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065AF5-FB9F-404A-8329-8EC1EAA8354D}">
  <ds:schemaRefs>
    <ds:schemaRef ds:uri="http://schemas.microsoft.com/office/2006/documentManagement/types"/>
    <ds:schemaRef ds:uri="a1c3fb2b-2b63-49ee-baa7-69f37ee2477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baed7cfd-e613-48d4-aeda-bc3622be368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ERT Report Paste</vt:lpstr>
    </vt:vector>
  </TitlesOfParts>
  <Manager/>
  <Company>Target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Jay.Marquess</dc:creator>
  <cp:keywords/>
  <dc:description/>
  <cp:lastModifiedBy>Kevin.Ybarra</cp:lastModifiedBy>
  <cp:revision/>
  <dcterms:created xsi:type="dcterms:W3CDTF">2023-05-01T19:40:42Z</dcterms:created>
  <dcterms:modified xsi:type="dcterms:W3CDTF">2023-12-11T16:53:03Z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0x010100341928E04CAB6243B45F9B3194D95BDF</vt:lpwstr>
  </property>
  <property fmtid="{D5CDD505-2E9C-101B-9397-08002B2CF9AE}" pid="3" name="MediaServiceImageTags">
    <vt:lpwstr/>
  </property>
</Properties>
</file>